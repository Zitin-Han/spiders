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XQ5" sheetId="2" r:id="rId1"/>
    <sheet name="XQ5 (2)" sheetId="3" state="hidden" r:id="rId2"/>
    <sheet name="数据更新表" sheetId="4" r:id="rId3"/>
    <sheet name="运费表" sheetId="5" r:id="rId4"/>
    <sheet name="工作表4" sheetId="6" r:id="rId5"/>
  </sheets>
  <externalReferences>
    <externalReference r:id="rId6"/>
    <externalReference r:id="rId7"/>
    <externalReference r:id="rId8"/>
    <externalReference r:id="rId9"/>
  </externalReferences>
  <definedNames>
    <definedName name="_xlnm._FilterDatabase" localSheetId="0" hidden="1">'XQ5'!$A$2:$FS$144</definedName>
    <definedName name="_xlnm._FilterDatabase" localSheetId="1" hidden="1">'XQ5 (2)'!$A$2:$FC$89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<sst xmlns="http://schemas.openxmlformats.org/spreadsheetml/2006/main" count="2259" uniqueCount="910">
  <si>
    <t>开发区</t>
  </si>
  <si>
    <t>产品信息区</t>
  </si>
  <si>
    <t>入full区</t>
  </si>
  <si>
    <t>补货区</t>
  </si>
  <si>
    <t>广告促销区</t>
  </si>
  <si>
    <t>调价区</t>
  </si>
  <si>
    <t>本月汇率（比索）：</t>
  </si>
  <si>
    <t>毛利区</t>
  </si>
  <si>
    <t>运费区</t>
  </si>
  <si>
    <t>产品参数区</t>
  </si>
  <si>
    <t>采购价更新区</t>
  </si>
  <si>
    <t>参数更新区</t>
  </si>
  <si>
    <t>开发日期</t>
  </si>
  <si>
    <t>选品标题（带链接）</t>
  </si>
  <si>
    <t>蓝鲸7天销量</t>
  </si>
  <si>
    <t>蓝鲸30天销量</t>
  </si>
  <si>
    <t>抓取时间</t>
  </si>
  <si>
    <t>一类</t>
  </si>
  <si>
    <t>产品类型</t>
  </si>
  <si>
    <t>产品名</t>
  </si>
  <si>
    <t>产品标题（上架）</t>
  </si>
  <si>
    <t>SKU</t>
  </si>
  <si>
    <t>上架编码</t>
  </si>
  <si>
    <t>状态</t>
  </si>
  <si>
    <t>购物体验分</t>
  </si>
  <si>
    <t>平台在线库存</t>
  </si>
  <si>
    <t>私仓</t>
  </si>
  <si>
    <t>在墨库存销售天数</t>
  </si>
  <si>
    <t>评估</t>
  </si>
  <si>
    <t>full分_旧产品数量</t>
  </si>
  <si>
    <t>仓储费产品__2月以上</t>
  </si>
  <si>
    <t>发货周期</t>
  </si>
  <si>
    <t>销售周期</t>
  </si>
  <si>
    <t>日均销量（7天）</t>
  </si>
  <si>
    <t>在墨库存数</t>
  </si>
  <si>
    <t>full和</t>
  </si>
  <si>
    <t>2.24-2.26 #62128153</t>
  </si>
  <si>
    <t>2/16-2.18 #61590631</t>
  </si>
  <si>
    <t>1/31-2/2 #60400687</t>
  </si>
  <si>
    <t>1/27-1/29 #60073000</t>
  </si>
  <si>
    <t>1/27-1/29 #60072244</t>
  </si>
  <si>
    <t>1/24-1/26 #60071284</t>
  </si>
  <si>
    <t>在途总和</t>
  </si>
  <si>
    <t>已采购</t>
  </si>
  <si>
    <t>实际补货</t>
  </si>
  <si>
    <t>理论补货</t>
  </si>
  <si>
    <t>7天销量(每日2点更新)</t>
  </si>
  <si>
    <t>单日销量</t>
  </si>
  <si>
    <t>自然销量</t>
  </si>
  <si>
    <t>广告销量</t>
  </si>
  <si>
    <t>直接</t>
  </si>
  <si>
    <t>间接</t>
  </si>
  <si>
    <t>广告花费</t>
  </si>
  <si>
    <t>展现量</t>
  </si>
  <si>
    <t>点击数</t>
  </si>
  <si>
    <t>Acos</t>
  </si>
  <si>
    <t>TAcos7天</t>
  </si>
  <si>
    <t>TAcos30天</t>
  </si>
  <si>
    <t>ROAS输出值</t>
  </si>
  <si>
    <t>ROAS目标值</t>
  </si>
  <si>
    <t>广告开关</t>
  </si>
  <si>
    <t>广告组</t>
  </si>
  <si>
    <t>促销截止时间</t>
  </si>
  <si>
    <t>2月21</t>
  </si>
  <si>
    <t>售价M·XN</t>
  </si>
  <si>
    <t>原价</t>
  </si>
  <si>
    <t>采购价RMB</t>
  </si>
  <si>
    <t>投入产出比</t>
  </si>
  <si>
    <t>采购价MXN</t>
  </si>
  <si>
    <t>海运毛利</t>
  </si>
  <si>
    <t>海运毛利率</t>
  </si>
  <si>
    <t>海运头程</t>
  </si>
  <si>
    <t>是否包邮</t>
  </si>
  <si>
    <t>仓库操作费</t>
  </si>
  <si>
    <t>ML佣金（经典曝光/优质曝光）</t>
  </si>
  <si>
    <t>包邮-尾端配送费</t>
  </si>
  <si>
    <t>企业增值税10.5%</t>
  </si>
  <si>
    <t>实重kg</t>
  </si>
  <si>
    <t>长cm</t>
  </si>
  <si>
    <t>宽cm</t>
  </si>
  <si>
    <t>高cm</t>
  </si>
  <si>
    <t>体积重</t>
  </si>
  <si>
    <t>计费重</t>
  </si>
  <si>
    <t>CBM</t>
  </si>
  <si>
    <t>日均实时销量7天</t>
  </si>
  <si>
    <t>新价格</t>
  </si>
  <si>
    <t>旧价格</t>
  </si>
  <si>
    <t>包装重量kg</t>
  </si>
  <si>
    <t>包装长cm</t>
  </si>
  <si>
    <t>包装宽cm</t>
  </si>
  <si>
    <t>包装高cm</t>
  </si>
  <si>
    <t>散货1/装柜2</t>
  </si>
  <si>
    <t>Yyugolo Mesa Cromada Uso Rudo Sencilla Con Ruedas Inoxidable | Envío gratis (mercadolibre.com.mx)</t>
  </si>
  <si>
    <t>推车</t>
  </si>
  <si>
    <t>二层小推车-外拦</t>
  </si>
  <si>
    <t>Yyugolo Mesa Cromada Uso Rudo Sencilla Con Ruedas Inoxidable</t>
  </si>
  <si>
    <t>XQ5-ECXTC-WL</t>
  </si>
  <si>
    <t>已上架</t>
  </si>
  <si>
    <t>关</t>
  </si>
  <si>
    <t>Medical trolley</t>
  </si>
  <si>
    <t>独家</t>
  </si>
  <si>
    <t>关广</t>
  </si>
  <si>
    <t>Mesa Para Intrumental Medico Mesa Pasteur Mesa Con 4 Ruedas | Meses sin interés (mercadolibre.com.mx)</t>
  </si>
  <si>
    <t>二层小推车-内拦</t>
  </si>
  <si>
    <t>Mesa Para Intrumental Medico Mesa Pasteur Mesa Con 4 Ruedas</t>
  </si>
  <si>
    <t>XQ5-ECXTC-NL</t>
  </si>
  <si>
    <t>1458升1558</t>
  </si>
  <si>
    <t>Mesa Pasteur Con Cajon Rodable Uso Rudo Envío Gratis | Envío gratis (mercadolibre.com.mx)</t>
  </si>
  <si>
    <t>麻醉车</t>
  </si>
  <si>
    <t>Mesa Pasteur Con Cajon Rodable Uso Rudo Envío Gratis</t>
  </si>
  <si>
    <t>XQ5-MZC</t>
  </si>
  <si>
    <t>开</t>
  </si>
  <si>
    <t>2420降2398</t>
  </si>
  <si>
    <t>Mesa Mayo Con Charola Acero Inoxidable Ajustable Uso Rudo | Envío gratis (mercadolibre.com.mx)</t>
  </si>
  <si>
    <t>托盘架</t>
  </si>
  <si>
    <t>四脚托盘架-45*35</t>
  </si>
  <si>
    <t>Mesa Mayo Con Charola Acero Inoxidable Ajustable Uso Rudo</t>
  </si>
  <si>
    <t>XQ5-SJTPJ-45*35</t>
  </si>
  <si>
    <t>Andadera Ortopedica de Doble Apoyo para Adulto Andador Ortopédico de Aluminio Plegable Soporta 100kg Tikun Color Negro | Envío gratis (mercadolibre.com.mx)</t>
  </si>
  <si>
    <t>助行器</t>
  </si>
  <si>
    <t>双弯助行器</t>
  </si>
  <si>
    <t>Andadera Ortopedica De Doble Apoyo Para Adulto Soporta 100kg</t>
  </si>
  <si>
    <t>XQ5-SWZXQ</t>
  </si>
  <si>
    <t>walking aid_3</t>
  </si>
  <si>
    <t>价优 无优势  清</t>
  </si>
  <si>
    <t>Andadera Ortopédica Fija Tikun Para Adulto Plegable De Aluminio Negro | Envío gratis (mercadolibre.com.mx)</t>
  </si>
  <si>
    <t>单弯助行器</t>
  </si>
  <si>
    <t>Andadera Ortopédica Fija De Aluminio Plegable Color Negro</t>
  </si>
  <si>
    <t>XQ5-DWZXQ</t>
  </si>
  <si>
    <t>已禁用</t>
  </si>
  <si>
    <t>walking aid_1</t>
  </si>
  <si>
    <t>Andadera ortopédica con ruedas Dewinner HS-ZLQ color plateado | Envío gratis (mercadolibre.com.mx)</t>
  </si>
  <si>
    <t>双弯带轮带板助行器</t>
  </si>
  <si>
    <t>Andadera ortopédica con ruedas Dewinner HS-ZLQ color plateado</t>
  </si>
  <si>
    <t>XQ5-SWDLDBZXQ</t>
  </si>
  <si>
    <t>walking aid_2</t>
  </si>
  <si>
    <t>价高 同958</t>
  </si>
  <si>
    <t>Porta Sueros Acero Inox 3 Ruedas Base De Hierro Con Cubierta | Meses sin interés (mercadolibre.com.mx)</t>
  </si>
  <si>
    <t>输液架</t>
  </si>
  <si>
    <t>输液架-折叠</t>
  </si>
  <si>
    <t>Porta Sueros Acero Inox 3 Ruedas Base De Hierro Con Cubierta</t>
  </si>
  <si>
    <t>ZD-XQ5-SYJ</t>
  </si>
  <si>
    <t>Ordinary items</t>
  </si>
  <si>
    <t>价高 无优势</t>
  </si>
  <si>
    <t>Modulo Ventilador Para Mazda 3 5 Ford Focus Fusion Escape | Meses sin interés</t>
  </si>
  <si>
    <t>风扇散热器</t>
  </si>
  <si>
    <t>风扇散热器1137328464</t>
  </si>
  <si>
    <t>Modulo Ventilador Para Mazda 3 5 Ford Focus Fusion Escape</t>
  </si>
  <si>
    <t>XQ5-QP001-1137328464</t>
  </si>
  <si>
    <t>新上架</t>
  </si>
  <si>
    <t>san re_1</t>
  </si>
  <si>
    <t>没权重，等广告清货</t>
  </si>
  <si>
    <t>469降288</t>
  </si>
  <si>
    <t>调474 开广</t>
  </si>
  <si>
    <t>Modulo Moto Ventilador Ford Edge 3.5l 2007 Al 2015 | Envío gratis</t>
  </si>
  <si>
    <t>风扇散热器4M519A810AA</t>
  </si>
  <si>
    <t>Modulo Moto Ventilador Ford Edge 3.5l 2007 Al 2015</t>
  </si>
  <si>
    <t>XQ5-QP002-4M519A810AA</t>
  </si>
  <si>
    <t>调636 开广</t>
  </si>
  <si>
    <t>Modulo Control Ventilador Focus 2 Mazda 3 Volvo C30 S40 V50 | Envío gratis</t>
  </si>
  <si>
    <t>风扇散热器1137328365</t>
  </si>
  <si>
    <t>Modulo Control Ventilador Focus 2 Mazda 3 Volvo C30 S40 V50</t>
  </si>
  <si>
    <t>XQ5-QP003-1137328365</t>
  </si>
  <si>
    <t>fengshan-1</t>
  </si>
  <si>
    <t>清货</t>
  </si>
  <si>
    <t>400降369</t>
  </si>
  <si>
    <t>调949 开广</t>
  </si>
  <si>
    <t>Modulo Ventilador Ford Land Rover Jaguar Volvo S60 Xc60 | Envío gratis</t>
  </si>
  <si>
    <t>风扇散热器940009402</t>
  </si>
  <si>
    <t>Modulo Ventilador Ford Land Rover Jaguar Volvo S60 Xc60</t>
  </si>
  <si>
    <t>XQ5-QP004-940009402</t>
  </si>
  <si>
    <t>调507 开广</t>
  </si>
  <si>
    <t>Módulo Ventilador Ford Fusion Lincoln Mkz 3.5 2010 2011 2012 | Envío gratis</t>
  </si>
  <si>
    <t>风扇散热器1137328617</t>
  </si>
  <si>
    <t>Módulo Ventilador Ford Fusion Lincoln Mkz 3.5 2010 2011 2012</t>
  </si>
  <si>
    <t>XQ5-QP005-1137328617</t>
  </si>
  <si>
    <t>没毛利，最低价215，上榜379</t>
  </si>
  <si>
    <t>调559 开广</t>
  </si>
  <si>
    <t>https://articulo.mercadolibre.com.mx/MLM-3117809716-alternador-chevrolet-aveo-15-85a-2018-2019-2020-2021-2022-_JM#polycard_client=search_best-seller&amp;tracking_id=308eb0f8-3e9c-40b5-988b-e5fca241b761</t>
  </si>
  <si>
    <t>交流发电机</t>
  </si>
  <si>
    <t>交流发电机A1137</t>
  </si>
  <si>
    <t>Alternador Chevrolet Aveo 1.5 85a 2018 2019 2020 2021 2022</t>
  </si>
  <si>
    <t>XQ5-QP023-A1137</t>
  </si>
  <si>
    <t>未上架</t>
  </si>
  <si>
    <t>https://www.mercadolibre.com.mx/alternador-para-fiat-uno-mobi-500-092023-ram-rapid-1723/up/MLMU458091911#polycard_client=search_best-seller&amp;tracking_id=c00fdf92-bf20-49d5-890d-57c15933cb7e&amp;wid=MLM3311433164&amp;sid=search</t>
  </si>
  <si>
    <t>交流发电机101210-1650</t>
  </si>
  <si>
    <t>Alternador Para Fiat Uno, Mobi, 500 09-2023, Ram Rapid 17-23</t>
  </si>
  <si>
    <t>XQ5-QP024-101210-1650</t>
  </si>
  <si>
    <t>Muelle Reloj Para Nissan Np300 Navara D23 2.5lts 2016-2020 | Meses sin interés</t>
  </si>
  <si>
    <t>气囊游丝</t>
  </si>
  <si>
    <t xml:space="preserve">气囊游丝25554-3TS0A </t>
  </si>
  <si>
    <t>Muelle Reloj Para Nissan Np300 Navara D23 2.5lts 2016-2020</t>
  </si>
  <si>
    <t>XQ5-QP020-25554-3TS0A</t>
  </si>
  <si>
    <t>qi nang_5</t>
  </si>
  <si>
    <t>调394 开广</t>
  </si>
  <si>
    <t>Resorte Reloj 84306-22010 Para 2006-2014 Toyota Yaris | Envío gratis</t>
  </si>
  <si>
    <t>气囊游丝84306-22010</t>
  </si>
  <si>
    <t>Resorte Reloj 84306-22010 Para 2006-2014 Toyota Yaris</t>
  </si>
  <si>
    <t>XQ5-QP021-84306-22010</t>
  </si>
  <si>
    <t>调415 开广</t>
  </si>
  <si>
    <t>Espiral Reloj Pista Carrete Mazda 3 2004 2005 2006 2007 2008 | Envío gratis</t>
  </si>
  <si>
    <t>气囊游丝BP4K-66-CS0</t>
  </si>
  <si>
    <t>Espiral Reloj Pista Carrete Mazda 3 2004 2005 2006 2007 2008</t>
  </si>
  <si>
    <t>XQ5-QP022-BP4K-66-CS0</t>
  </si>
  <si>
    <t>调527 开广</t>
  </si>
  <si>
    <t>Pista Espiral Volante Claxon Bolsa Versa 12-19 March 12-20 | Meses sin interés</t>
  </si>
  <si>
    <t>气囊游丝25554-3DN0A</t>
  </si>
  <si>
    <t>Pista Espiral Volante Claxon Bolsa Versa 12-19 March 12-20</t>
  </si>
  <si>
    <t>XQ5-QP006-25554-3DN0A</t>
  </si>
  <si>
    <t>qi nang-8</t>
  </si>
  <si>
    <t>同366</t>
  </si>
  <si>
    <t>Resorte Reloj Sensor Para Jeep Patriot 2007 A 2016 | Meses sin interés</t>
  </si>
  <si>
    <t>气囊游丝5156106AF-带角度</t>
  </si>
  <si>
    <t>Resorte Reloj Sensor Para Jeep Patriot 2007 A 2016</t>
  </si>
  <si>
    <t>XQ5-QP007-5156106AF</t>
  </si>
  <si>
    <t>qi nang_1</t>
  </si>
  <si>
    <t>同行1025</t>
  </si>
  <si>
    <t>Resorte Reloj Pista Carrete Para Nissan X-tail Tiida 07-18 | MercadoLibre</t>
  </si>
  <si>
    <t>气囊游丝25567-ET225</t>
  </si>
  <si>
    <t>Resorte Reloj Pista Carrete Para Nissan X-tail Tiida 07-18</t>
  </si>
  <si>
    <t>XQ5-QP008-25567-ET225</t>
  </si>
  <si>
    <t>qi nang-7</t>
  </si>
  <si>
    <t>同271</t>
  </si>
  <si>
    <t>Resorte De Reloj Para Toyota Tacoma Corolla 2009 - 2013 Bsj | MercadoLibre</t>
  </si>
  <si>
    <t>气囊游丝84306-48030</t>
  </si>
  <si>
    <t>Resorte De Reloj Para Toyota Tacoma Corolla 2009 - 2013 Bsj</t>
  </si>
  <si>
    <t>XQ5-QP009-84306-48030</t>
  </si>
  <si>
    <t>qi nang_2</t>
  </si>
  <si>
    <t>同 238</t>
  </si>
  <si>
    <t>Resorte Reloj S/sensor Ángulo Compass Patriot 200 2007-2018 | Envío gratis</t>
  </si>
  <si>
    <t>气囊游丝05156106AG-S-不带角度</t>
  </si>
  <si>
    <t>Resorte Reloj S/sensor Ángulo Compass Patriot 200 2007-2018</t>
  </si>
  <si>
    <t>XQ5-QP010-05156106AG-S</t>
  </si>
  <si>
    <t>qi nang_3</t>
  </si>
  <si>
    <t>同497</t>
  </si>
  <si>
    <t>426降399</t>
  </si>
  <si>
    <t>Fy Pista Carrete Resorte Reloj Para Chevrolet Beat 2018-2021 | Meses sin interés</t>
  </si>
  <si>
    <t>气囊游丝94529531</t>
  </si>
  <si>
    <t>Fy Pista Carrete Resorte Reloj Para Chevrolet Beat 2018-2021</t>
  </si>
  <si>
    <t>XQ5-QP011-94529531</t>
  </si>
  <si>
    <t>同380</t>
  </si>
  <si>
    <t>320降298</t>
  </si>
  <si>
    <t>https://articulo.mercadolibre.com.mx/MLM-2236159097-resorte-reloj-para-elantra-sonata-2011-2012-2013-2014-2015-_JM</t>
  </si>
  <si>
    <t>气囊游丝93490-3Q120</t>
  </si>
  <si>
    <t>Resorte Reloj Para Elantra Sonata 2011 2012 2013 2014 2015</t>
  </si>
  <si>
    <t>XQ5-QP012-93490-3Q120</t>
  </si>
  <si>
    <t>qi nang-9</t>
  </si>
  <si>
    <t>同209</t>
  </si>
  <si>
    <t>Resorte Reloj Pista Carrete Nissan X-trail 2008-2014 1 Cable | MercadoLibre</t>
  </si>
  <si>
    <t>气囊游丝B5567-JM50AN</t>
  </si>
  <si>
    <t>Resorte Reloj Pista Carrete Nissan X-trail 2008-2014 1 Cable</t>
  </si>
  <si>
    <t>XQ5-QP013-B5567-JM50AN</t>
  </si>
  <si>
    <t>qi nang-6</t>
  </si>
  <si>
    <t>调240 开广</t>
  </si>
  <si>
    <t>Resorte Reloj Pista Carrete Espiral Toyota Tacoma 2005-2014 Negro | Envío gratis</t>
  </si>
  <si>
    <t>气囊游丝84306 - 06140</t>
  </si>
  <si>
    <t>Resorte Reloj Pista Carrete Espiral Toyota Tacoma 2005-2014 Negro</t>
  </si>
  <si>
    <t>XQ5-QP014-84306-06140</t>
  </si>
  <si>
    <t>调179 开广</t>
  </si>
  <si>
    <t>Fy Carrete Resorte Reloj Espiral For Aveo Ng 2018/21 | MercadoLibre</t>
  </si>
  <si>
    <t>气囊游丝26685762</t>
  </si>
  <si>
    <t>Fy Carrete Resorte Reloj Espiral For Aveo Ng 2018/21</t>
  </si>
  <si>
    <t>XQ5-QP015-26685762</t>
  </si>
  <si>
    <t>qi nang_4</t>
  </si>
  <si>
    <t>上榜，最低价</t>
  </si>
  <si>
    <t>开广告</t>
  </si>
  <si>
    <t>380涨399</t>
  </si>
  <si>
    <t>调380 开广</t>
  </si>
  <si>
    <t>https://articulo.mercadolibre.com.mx/MLM-3359259692-marcha-volkswage-golf-jetta-87-99-caribe-78-89-encendido-_JM#polycard_client=search_best-seller&amp;tracking_id=4de6f91b-01bf-43f2-bd15-e757002642ed</t>
  </si>
  <si>
    <t>汽车马达</t>
  </si>
  <si>
    <t>汽车马达020911023</t>
  </si>
  <si>
    <t>Marcha Volkswage Golf Jetta 87-99 Caribe 78-89 Encendido</t>
  </si>
  <si>
    <t>XQ5-QP025-020911023</t>
  </si>
  <si>
    <t>https://www.mercadolibre.com.mx/marcha-para-chevrolet-aveo-0417-tornado-0410-pontiac-g3/up/MLMU2863668269#polycard_client=search_best-seller&amp;tracking_id=0f2c14e6-eaa7-4f26-87e4-67e0a36b0da7&amp;wid=MLM3481305334&amp;sid=search</t>
  </si>
  <si>
    <t>汽车马达96469963</t>
  </si>
  <si>
    <t>Marcha Para Chevrolet Aveo 04-17, Tornado 04-10, Pontiac G3</t>
  </si>
  <si>
    <t>XQ5-QP026-96469963</t>
  </si>
  <si>
    <t>Marcha Para Chevrolet Chevy 1994-2012, Astra, Corsa 00-08 9d | Envío gratis</t>
  </si>
  <si>
    <t>汽车马达0001107402</t>
  </si>
  <si>
    <t>Marcha Para Chevrolet Chevy 1994-2012, Astra, Corsa 00-08 9d</t>
  </si>
  <si>
    <t>XQ5-QP027-0001107402</t>
  </si>
  <si>
    <t>https://www.mercadolibre.com.mx/marcha-para-nissan-versa-tiida-march-note-20092019-16l/up/MLMU2908349051#polycard_client=search_best-seller&amp;tracking_id=9d239245-9811-4bc1-aa4b-95c57c8549b5&amp;wid=MLM2209491185&amp;sid=search</t>
  </si>
  <si>
    <t>汽车马达S114-901A</t>
  </si>
  <si>
    <t>Marcha Para Nissan Versa, Tiida, March, Note 2009-2019 1.6l</t>
  </si>
  <si>
    <t>XQ5-QP028-S114-901A</t>
  </si>
  <si>
    <t>https://www.mercadolibre.com.mx/marcha-tsuru-19842017-sentra-821999-transmision-std-8-dts/up/MLMU509343700#polycard_client=search_best-seller&amp;tracking_id=36da195b-0e57-462b-8963-8765c8e102b9&amp;wid=MLM3098337328&amp;sid=search</t>
  </si>
  <si>
    <t>汽车马达S114-769</t>
  </si>
  <si>
    <t>Marcha Tsuru 1984-2017, Sentra 82-1999 Transmision Std 8 Dts</t>
  </si>
  <si>
    <t>XQ5-QP029-S114-769</t>
  </si>
  <si>
    <t>https://www.mercadolibre.com.mx/marcha-p-chevrolet-c1500-c2500-c3500-silverado-suburban-11d/up/MLMU2836302409#polycard_client=search_best-seller&amp;tracking_id=e485248c-2905-47ae-bd09-2a75f1d94977&amp;wid=MLM3472649120&amp;sid=search</t>
  </si>
  <si>
    <t>汽车马达8000727</t>
  </si>
  <si>
    <t>Marcha P/ Chevrolet C1500 C2500 C3500 Silverado Suburban 11d</t>
  </si>
  <si>
    <t>XQ5-QP030-8000727</t>
  </si>
  <si>
    <t>Bomba Vacio Booster Frenos Trax Onix 1.0 1.2 2021 2022 | Envío gratis</t>
  </si>
  <si>
    <t>真空泵</t>
  </si>
  <si>
    <t>真空泵55503109</t>
  </si>
  <si>
    <t>Bomba Vacio Booster Frenos Trax Onix 1.0 1.2 2021 2022</t>
  </si>
  <si>
    <t>XQ5-QP016-55503109</t>
  </si>
  <si>
    <t>zhen kong beng-3</t>
  </si>
  <si>
    <t>调1653 开广</t>
  </si>
  <si>
    <t>https://articulo.mercadolibre.com.mx/MLM-2283820517-bomba-vacio-cruze-spark-malibu-14-15-2016-2017-2018-2019-_JM#polycard_client=search_best-seller&amp;tracking_id=0b0dbe29-5eda-4616-8069-322daa9e055a</t>
  </si>
  <si>
    <t>真空泵12704586</t>
  </si>
  <si>
    <t>Bomba Vacío Cruze Spark Malibu 1.4 1.5 2016 2017 2018 2019</t>
  </si>
  <si>
    <t>XQ5-QP017-12704586</t>
  </si>
  <si>
    <t>zhen kong beng_1</t>
  </si>
  <si>
    <t>调700 开广</t>
  </si>
  <si>
    <t>Bomba Vacio Chevrolet S10 Malibu 2.0 2.5 2016 2017 2018-2022 | Envío gratis</t>
  </si>
  <si>
    <t>真空泵12686657</t>
  </si>
  <si>
    <t>Bomba Vacio Chevrolet S10 Malibu 2.0 2.5 2016 2017 2018-2022</t>
  </si>
  <si>
    <t>XQ5-QP018-12686657</t>
  </si>
  <si>
    <t>zhen kong beng_2</t>
  </si>
  <si>
    <t>调891 开广</t>
  </si>
  <si>
    <t>Bomba Vacio Vw Golf Beetle Bora Passat Jetta 2.5 2005-2017 | Envío gratis</t>
  </si>
  <si>
    <t>真空泵07K-145100C</t>
  </si>
  <si>
    <t>Bomba Vacio Vw Golf Beetle Bora Passat Jetta 2.5 2005-2017</t>
  </si>
  <si>
    <t>XQ5-QP019-07K-145100C</t>
  </si>
  <si>
    <t>调1589 开广</t>
  </si>
  <si>
    <t>Bobina Encendido Peugeot 206 207 308 Partner 1.6 2001-2013 | Envío gratis</t>
  </si>
  <si>
    <t>点火线圈</t>
  </si>
  <si>
    <t>点火线圈597080</t>
  </si>
  <si>
    <t>Bobina Encendido Peugeot 206 207 308 Partner 1.6 2001-2013</t>
  </si>
  <si>
    <t>XQ5-QP031-597080</t>
  </si>
  <si>
    <t>xian quan_1</t>
  </si>
  <si>
    <t>观察广告，准备涨价</t>
  </si>
  <si>
    <t>调599 开广</t>
  </si>
  <si>
    <t>https://articulo.mercadolibre.com.mx/MLM-2595008336-bobina-encendido-x-trail-25-2002-2003-2004-2005-2006-2007-_JM</t>
  </si>
  <si>
    <t>点火线圈224338H315</t>
  </si>
  <si>
    <t>Bobina Encendido X-trail 2.5 2002 2003 2004 2005 2006 2007</t>
  </si>
  <si>
    <t>XQ5-QP032-224338H315</t>
  </si>
  <si>
    <t>调269 开广</t>
  </si>
  <si>
    <t>https://articulo.mercadolibre.com.mx/MLM-2048104771-bobina-encendido-f-350-super-duty-54l-99-04-fd503-ic39-_JM</t>
  </si>
  <si>
    <t>点火线圈1L2U12029AA</t>
  </si>
  <si>
    <t>Bobina Encendido F-350 Super Duty 5.4l 99-04 Fd503 Ic39</t>
  </si>
  <si>
    <t>XQ5-QP033-1L2U12029AA</t>
  </si>
  <si>
    <t>调155 开广</t>
  </si>
  <si>
    <t>https://articulo.mercadolibre.com.mx/MLM-2264069447-par-solenoide-vvt-captiva-equinox-hhr-malibu-terrain-nuevo-_JM#polycard_client=search_best-seller&amp;tracking_id=9e0727a3-de60-4246-8cf6-107bae10046a&amp;wid=MLM2264069447&amp;sid=search</t>
  </si>
  <si>
    <t>电磁阀</t>
  </si>
  <si>
    <t>电磁阀12655421</t>
  </si>
  <si>
    <t>Par Solenoide Vvt Captiva Equinox Hhr Malibu Terrain Nuevo</t>
  </si>
  <si>
    <t>XQ5-QP034-12655421</t>
  </si>
  <si>
    <t>dian ci fa_1</t>
  </si>
  <si>
    <t>调346 开广</t>
  </si>
  <si>
    <t>Válvula Solenoide Vvt Nissan Tiida Versa 1.8 2007-2015 Nuevo | Meses sin interés</t>
  </si>
  <si>
    <t>电磁阀23796-ET00A</t>
  </si>
  <si>
    <t>Válvula Solenoide Vvt Nissan Tiida Versa 1.8 2007-2015 Nuevo</t>
  </si>
  <si>
    <t>XQ5-QP035-23796-ET00A</t>
  </si>
  <si>
    <t>dian ci fa-3</t>
  </si>
  <si>
    <t>258降249</t>
  </si>
  <si>
    <t>调297 开广</t>
  </si>
  <si>
    <t>https://articulo.mercadolibre.com.mx/MLM-2166283691-valvula-selenoide-vtec-para-honda-crv-24l-anos-2002-2009-_JM#polycard_client=search_best-seller&amp;tracking_id=e9ca670c-8b60-4804-ba37-94a81c0ba396&amp;wid=MLM2166283691&amp;sid=search</t>
  </si>
  <si>
    <t>电磁阀15810-RAA-A01</t>
  </si>
  <si>
    <t>Válvula Selenoide Vtec Para Honda Crv 2.4l Años 2002-2009</t>
  </si>
  <si>
    <t>XQ5-QP036-15810-RAA-A01</t>
  </si>
  <si>
    <t>dian ci fa-2</t>
  </si>
  <si>
    <t>调495 开广</t>
  </si>
  <si>
    <t>Par Amortiguadores De Cajuela Nissan March 2012-2018 90451 | Envío gratis</t>
  </si>
  <si>
    <t>后备箱减震器</t>
  </si>
  <si>
    <t>后备箱减震器（左右）904501HL0A</t>
  </si>
  <si>
    <t>Par Amortiguadores De Cajuela Nissan March 2012-2018 90451</t>
  </si>
  <si>
    <t>XQ5-QP037-904501HL0A</t>
  </si>
  <si>
    <t>Par De Amortiguadores Cajuela Vw Pointer 1998 Al 2009 Oep | Envío gratis</t>
  </si>
  <si>
    <t>后备箱减震器（左右）377827550C</t>
  </si>
  <si>
    <t>Par De Amortiguadores Cajuela Vw Pointer 1998 Al 2009 Oep</t>
  </si>
  <si>
    <t>XQ5-QP038-377827550C</t>
  </si>
  <si>
    <t>2 Amortiguadores Cajuela Jetta A4 1999-2015 | Envío gratis</t>
  </si>
  <si>
    <t>后备箱减震器（左右）3B5-827-550A</t>
  </si>
  <si>
    <t>2 Amortiguadores Cajuela Jetta A4 1999-2015</t>
  </si>
  <si>
    <t>XQ5-QP039-3B5-827-550A</t>
  </si>
  <si>
    <t>Par De Amortiguadores Cajuela Seat Ibiza 2003-2009 | Meses sin interés</t>
  </si>
  <si>
    <t>后备箱减震器（左右）6L6-827-550B</t>
  </si>
  <si>
    <t>Par De Amortiguadores Cajuela Seat Ibiza 2003-2009</t>
  </si>
  <si>
    <t>XQ5-QP040-6L6-827-550B</t>
  </si>
  <si>
    <t>Mesa Pasteur Cromada Uso Rudo Envío Gratis Y Factura | Envío gratis</t>
  </si>
  <si>
    <t>不锈钢推车</t>
  </si>
  <si>
    <t>麻醉车-特小号</t>
  </si>
  <si>
    <t>Mesa Pasteur Cromada Uso Rudo Envío Gratis Y Factura</t>
  </si>
  <si>
    <t>XQ5-YL015</t>
  </si>
  <si>
    <t>箱规为4个</t>
  </si>
  <si>
    <t>Mesa Pasteur Totalmente De Acero Inoxidable | Meses sin interés</t>
  </si>
  <si>
    <t>器械车-特小号</t>
  </si>
  <si>
    <t>Mesa Pasteur Totalmente De Acero Inoxidable</t>
  </si>
  <si>
    <t>XQ5-YL016</t>
  </si>
  <si>
    <t>箱规为3个</t>
  </si>
  <si>
    <t>Mesa Pasteur Para Dialisis Con Portasueros Envío Gratis | Envío gratis</t>
  </si>
  <si>
    <t>输液车-特小号</t>
  </si>
  <si>
    <t>Mesa Pasteur Para Dialisis Con Portasueros Envío Gratis</t>
  </si>
  <si>
    <t>XQ5-YL017</t>
  </si>
  <si>
    <t>箱规为2个</t>
  </si>
  <si>
    <t>Carrito De Médico De Acero Inoxidable, Mesa Para Instrumental Médico, Con 2 Cajones + 2 Bandejas De Acero Inoxidable Adicionales | Envío gratis</t>
  </si>
  <si>
    <t>外栏治疗车-小号二层双抽</t>
  </si>
  <si>
    <t>Carrito De Médico De Acero Inoxidable, Mesa Para Instrumental Médico, Con 2 Cajones + 2 Bandejas De Acero Inoxidable Adicionales</t>
  </si>
  <si>
    <t>XQ5-YL018</t>
  </si>
  <si>
    <t>https://www.mercadolibre.com.mx/mesa-pasteur-con-cajon-uso-rudo-envio-gratis-facturada/p/MLM2039970772?pdp_filters=item_id:MLM2294543411</t>
  </si>
  <si>
    <t>麻醉车-特小号单抽</t>
  </si>
  <si>
    <t>Mesa Pasteur Con Cajon Uso Rudo Envio Gratis Facturada</t>
  </si>
  <si>
    <t>XQ5-YL019</t>
  </si>
  <si>
    <t>Mesa Pasteur 100% Acero Inoxidable 60x40x90 Cm | Envío gratis</t>
  </si>
  <si>
    <t>麻醉车-小号</t>
  </si>
  <si>
    <t>Mesa Pasteur 100% Acero Inoxidable 60x40x90 Cm</t>
  </si>
  <si>
    <t>XQ5-YL020</t>
  </si>
  <si>
    <t>https://articulo.mercadolibre.com.mx/MLM-3412424772-mesa-pasteur-grado-hospitalario-salon-de-belleza-spa-_JM#polycard_client=search-nordic&amp;search_layout=grid&amp;position=1&amp;type=item&amp;tracking_id=d92c673d-14e6-44cd-92d9-ac0be745bd4a&amp;wid=MLM3412424772&amp;sid=search</t>
  </si>
  <si>
    <t>塑料推车</t>
  </si>
  <si>
    <t>全塑料推车</t>
  </si>
  <si>
    <t>Mesa Pasteur Grado Hospitalario Salón De Belleza Spa</t>
  </si>
  <si>
    <t>XQ5-YL003</t>
  </si>
  <si>
    <t>Tm-mesa Mayo Con Charola Acero Inoxidable Ajustable Uso Rudo | Envío gratis</t>
  </si>
  <si>
    <t>托盘推车</t>
  </si>
  <si>
    <t>单杆托盘-45*35-304</t>
  </si>
  <si>
    <t>Tm-mesa Mayo Con Charola Acero Inoxidable Ajustable Uso Rudo</t>
  </si>
  <si>
    <t>XQ5-YL004</t>
  </si>
  <si>
    <t>Charola Mesa Isla Doble Acero Inoxidable 110x50x85 Cm Color Gris Mindejal | Meses sin interés</t>
  </si>
  <si>
    <t>不锈钢操作台</t>
  </si>
  <si>
    <t>三层置物台-110*50*85</t>
  </si>
  <si>
    <t>Charola Mesa Isla Doble Acero Inoxidable 110x50x85 Cm Color Gris Mindejal</t>
  </si>
  <si>
    <t>XQ5-YL007</t>
  </si>
  <si>
    <t>Repisa C/soporte Acero Inoxidable Marca Mindejal 1.00 Mts | Meses sin interés</t>
  </si>
  <si>
    <t>置物墙架-100*30*30</t>
  </si>
  <si>
    <t>Repisa C/soporte Acero Inoxidable Marca Mindejal 1.00 Mts</t>
  </si>
  <si>
    <t>XQ5-YL008</t>
  </si>
  <si>
    <t>Mesa A Pared 100% Acero Inoxidable 120x60x90 Marca Ferrinox | Meses sin interés</t>
  </si>
  <si>
    <t>双层置物台-120*60*90</t>
  </si>
  <si>
    <t>Mesa A Pared 100% Acero Inoxidable 120x60x90 Marca Ferrinox</t>
  </si>
  <si>
    <t>XQ5-YL012</t>
  </si>
  <si>
    <t>Mesa Con Repisa 100% Acero Inoxidable Marca Ferrinox | Meses sin interés</t>
  </si>
  <si>
    <t>三层作业台-110*60*90</t>
  </si>
  <si>
    <t>Mesa Con Repisa 100% Acero Inoxidable Marca Ferrinox</t>
  </si>
  <si>
    <t>XQ5-YL013</t>
  </si>
  <si>
    <t>Mesa En Isla Cubierta Acero Inox 90x70x90 Marca Ferrinox | Meses sin interés</t>
  </si>
  <si>
    <t>双层置物台-90*70*90</t>
  </si>
  <si>
    <t>Mesa En Isla Cubierta Acero Inox 90x70x90 Marca Ferrinox</t>
  </si>
  <si>
    <t>XQ5-YL009</t>
  </si>
  <si>
    <t>Mesa Apoyo 100 % Acero Inoxidable 50×50×50 Marca Ferrinox | Meses sin interés</t>
  </si>
  <si>
    <t>双层置物台-50*50*50</t>
  </si>
  <si>
    <t>Mesa Apoyo 100 % Acero Inoxidable 50×50×50 Marca Ferrinox</t>
  </si>
  <si>
    <t>XQ5-YL010</t>
  </si>
  <si>
    <t>Mesa Isla Doble 100% Acero Inox 60x60x90 Marca Ferrinox | Meses sin interés</t>
  </si>
  <si>
    <t>三层置物台-60*60*90</t>
  </si>
  <si>
    <t>Mesa Isla Doble 100% Acero Inox 60x60x90 Marca Ferrinox</t>
  </si>
  <si>
    <t>XQ5-YL011</t>
  </si>
  <si>
    <t>Mesa Móvil Laboratorio Escuelas Ruedas Giratorias 3 Enchufes | Meses sin interés</t>
  </si>
  <si>
    <t>设备推车</t>
  </si>
  <si>
    <t>口扫推车</t>
  </si>
  <si>
    <t>Mesa Móvil Laboratorio Escuelas Ruedas Giratorias 3 Enchufes</t>
  </si>
  <si>
    <t>XQ5-YL001</t>
  </si>
  <si>
    <t>Maniquí Para Capacitación De Rcp | Meses sin interés</t>
  </si>
  <si>
    <t>假人模型</t>
  </si>
  <si>
    <t>半身模拟人</t>
  </si>
  <si>
    <t>Maniquí Para Capacitación De Rcp</t>
  </si>
  <si>
    <t>XQ5-YL002</t>
  </si>
  <si>
    <t>Repisa Con Garabato 100 Cm Color Gris | Meses sin interés</t>
  </si>
  <si>
    <t>挂钩墙架-100*30*30</t>
  </si>
  <si>
    <t>Repisa Con Garabato 100 Cm Color Gris</t>
  </si>
  <si>
    <t>XQ5-YL022</t>
  </si>
  <si>
    <t>50plato Base,plato Base Dorado,para Vento,decoración De Mesa Dorado Oscuro Lisa | Envío gratis</t>
  </si>
  <si>
    <t>餐具托盘</t>
  </si>
  <si>
    <t>餐具托盘-50件套</t>
  </si>
  <si>
    <t>50plato Base,plato Base Dorado,para Vento,decoración De Mesa Dorado Oscuro Lisa</t>
  </si>
  <si>
    <t>XQ5-YL023</t>
  </si>
  <si>
    <t>https://articulo.mercadolibre.com.mx/MLM-4244427330-porta-suero-con-base-de-acero-inoxidable-4-ganchos-ajustable-_JM#polycard_client=search_best-seller&amp;tracking_id=9d1b34c6-9202-4e3e-bc85-8f191599ab49</t>
  </si>
  <si>
    <t>医疗架</t>
  </si>
  <si>
    <t>三脚输液架-带轮</t>
  </si>
  <si>
    <t>Porta Suero Con Base De Acero Inoxidable 4 Ganchos Ajustable</t>
  </si>
  <si>
    <t>XQ5-YL024</t>
  </si>
  <si>
    <t>https://www.mercadolibre.com.mx/porta-suero-tripie-base-de-metalica-4-ganchos-ajustable/up/MLMU3439512412#polycard_client=search_best-seller&amp;tracking_id=9d1b34c6-9202-4e3e-bc85-8f191599ab49&amp;wid=MLM4111535692&amp;sid=search</t>
  </si>
  <si>
    <t>三脚输液架-固定折叠</t>
  </si>
  <si>
    <t>Porta Suero Tripie Base De Metálica 4 Ganchos Ajustable</t>
  </si>
  <si>
    <t>XQ5-YL025</t>
  </si>
  <si>
    <t>Toldo Techo Para Puerta Ventana De Policarbonato 120 X 80cm | Envío gratis (mercadolibre.com.mx)</t>
  </si>
  <si>
    <t>雨棚</t>
  </si>
  <si>
    <t>塑钢雨棚-白色120*80</t>
  </si>
  <si>
    <t>Toldo Techo Para Puerta Ventana De Policarbonato 120 X 80cm</t>
  </si>
  <si>
    <t>XQ5-YL026</t>
  </si>
  <si>
    <t>360 ° Gira El Grifo Del Fregadero De La Tercera Marcha 2pcs | Meses sin interés (mercadolibre.com.mx)</t>
  </si>
  <si>
    <t>水龙头</t>
  </si>
  <si>
    <t>水龙头延伸器</t>
  </si>
  <si>
    <t>360 ° Gira El Grifo Del Fregadero De La Tercera Marcha 2pcs</t>
  </si>
  <si>
    <t>XQ5-YL027</t>
  </si>
  <si>
    <t>用于切割1/2和3/4 PVC管螺纹的工具 |免息月份 (mercadolibre.com.mx)</t>
  </si>
  <si>
    <t>开丝器</t>
  </si>
  <si>
    <t>水管开丝器套装</t>
  </si>
  <si>
    <t>Herramienta Para Cortar Roscas De Tubos De Pvc De 1/2 Y 3/4</t>
  </si>
  <si>
    <t>XQ5-YL028</t>
  </si>
  <si>
    <t>Cepillo Para Limpiar Manguera De Acuario 155 Cm Azul | MercadoLibre</t>
  </si>
  <si>
    <t>清洁刷</t>
  </si>
  <si>
    <t>水管清洁刷</t>
  </si>
  <si>
    <t>Cepillo Para Limpiar Manguera De Acuario 155 Cm Azul</t>
  </si>
  <si>
    <t>XQ5-YL029</t>
  </si>
  <si>
    <t>箱规为50个</t>
  </si>
  <si>
    <t>Válvula Reguladora Para Compresores 25/50l 19327 | Envío gratis (mercadolibre.com.mx)</t>
  </si>
  <si>
    <t>空压机配件</t>
  </si>
  <si>
    <t>巴马支架</t>
  </si>
  <si>
    <t>Válvula Reguladora Para Compresores 25/50l 19327</t>
  </si>
  <si>
    <t>XQ5-QP041</t>
  </si>
  <si>
    <t>4 Unidades Goma Pointer Base Gol Saveiro Jetta A4 A3 | Envío gratis (mercadolibre.com.mx)</t>
  </si>
  <si>
    <t>减震器胶垫</t>
  </si>
  <si>
    <t>减震器胶垫4pzs</t>
  </si>
  <si>
    <t>4 Unidades Goma Pointer Base Gol Saveiro Jetta A4 A3</t>
  </si>
  <si>
    <t>XQ5-QP042</t>
  </si>
  <si>
    <t>Cuenta Golpes 5 Digitos Alta Calidad Cuenta Pacas | Meses sin interés (mercadolibre.com.mx)</t>
  </si>
  <si>
    <t>计数器</t>
  </si>
  <si>
    <t>拉动式计数器-五位</t>
  </si>
  <si>
    <t>Cuenta Golpes 5 Digitos Alta Calidad Cuenta Pacas</t>
  </si>
  <si>
    <t>XQ5-QP043</t>
  </si>
  <si>
    <t>Letras Y Numeros De Golpe 3 Mm Con Estuche 36 Pzs / Set | MercadoLibre</t>
  </si>
  <si>
    <t>钢印冲</t>
  </si>
  <si>
    <t>钢印冲-37pzs</t>
  </si>
  <si>
    <t>Letras Y Numeros De Golpe 3 Mm Con Estuche 36 Pzs / Set</t>
  </si>
  <si>
    <t>XQ5-QP044</t>
  </si>
  <si>
    <t>Grapa Soporte Para Parrilla De Enfriadores De Botella 10 Pz | Envío gratis (mercadolibre.com.mx)</t>
  </si>
  <si>
    <t>卡扣</t>
  </si>
  <si>
    <t>冷柜卡扣-10pzs</t>
  </si>
  <si>
    <t>Grapa Soporte Para Parrilla De Enfriadores De Botella 10 Pz</t>
  </si>
  <si>
    <t>XQ5-QP045</t>
  </si>
  <si>
    <t>Boquilla Doble Fumigadora Aspersora Riego Jardín Agrícola | Envío gratis (mercadolibre.com.mx)</t>
  </si>
  <si>
    <t>雾化喷头</t>
  </si>
  <si>
    <t>农用雾化喷头</t>
  </si>
  <si>
    <t>Boquilla Doble Fumigadora Aspersora Riego Jardín Agrícola</t>
  </si>
  <si>
    <t>XQ5-QP046</t>
  </si>
  <si>
    <t>Cuchillas De Cepillo Hss De 82 Mm Para Makita Y Otras Marcas | Meses sin interés (mercadolibre.com.mx)</t>
  </si>
  <si>
    <t>刀片</t>
  </si>
  <si>
    <t>电刨刚刀片</t>
  </si>
  <si>
    <t>Cuchillas De Cepillo Hss De 82 Mm Para Makita Y Otras Marcas</t>
  </si>
  <si>
    <t>XQ5-QP047</t>
  </si>
  <si>
    <t>Ak47 Riel Picatinny Dust Cover Tapadera Superior Riel Alumin | Envío gratis (mercadolibre.com.mx)</t>
  </si>
  <si>
    <t>工具配件</t>
  </si>
  <si>
    <t>金属导轨条</t>
  </si>
  <si>
    <t>Ak47 Riel Picatinny Dust Cover Tapadera Superior Riel Alumin</t>
  </si>
  <si>
    <t>XQ5-QP048</t>
  </si>
  <si>
    <t>Guardamanos Enfriador Tactico Ar -15 / M4 Gotcha Airsoft | Meses sin interés</t>
  </si>
  <si>
    <t>金属导轨条SLR</t>
  </si>
  <si>
    <t>Guardamanos Enfriador Tactico Ar -15 / M4 Gotcha Airsoft</t>
  </si>
  <si>
    <t>XQ5-QP049</t>
  </si>
  <si>
    <t>Pack Carry Handle Asa Transporte Militar Ar15 M4 M16 Ak47 | Envío gratis</t>
  </si>
  <si>
    <t>金属提拔</t>
  </si>
  <si>
    <t>Pack Carry Handle Asa Transporte Militar Ar15 M4 M16 Ak47</t>
  </si>
  <si>
    <t>XQ5-QP050</t>
  </si>
  <si>
    <t>Riel Base Universal Cal 22 Ruger Adaptar Riel 11 Mm Y Weaver | Meses sin interés</t>
  </si>
  <si>
    <t>导轨适配器-11到20mm</t>
  </si>
  <si>
    <t>Riel Base Universal Cal 22 Ruger Adaptar Riel 11 Mm Y Weaver</t>
  </si>
  <si>
    <t>XQ5-QP051</t>
  </si>
  <si>
    <t>2 Monturas 11mm Tactica Alta Anilletas Riel Picatinny Rifles | Envío gratis</t>
  </si>
  <si>
    <t>铝合金管夹25.4</t>
  </si>
  <si>
    <t>2 Monturas 11mm Tactica Alta Anilletas Riel Picatinny Rifles</t>
  </si>
  <si>
    <t>XQ5-QP052</t>
  </si>
  <si>
    <t>Montura Scope Monopieza Tactica Mira Telescopica Rifle Caza | Envío gratis</t>
  </si>
  <si>
    <t>连体高窄铝合金管夹25.4</t>
  </si>
  <si>
    <t>Montura Scope Monopieza Tactica Mira Telescopica Rifle Caza</t>
  </si>
  <si>
    <t>XQ5-QP053</t>
  </si>
  <si>
    <t>Mira Holografica Co2 Punto Rojo Ar Riel 20mm Gotcha Red Dot | Meses sin interés</t>
  </si>
  <si>
    <t>趣味望远镜</t>
  </si>
  <si>
    <t>Mira Holografica Co2 Punto Rojo Ar Riel 20mm Gotcha Red Dot</t>
  </si>
  <si>
    <t>XQ5-QP054</t>
  </si>
  <si>
    <t>100pz Grapas Industriales Para Lambrin Interior Decorativo | Envío gratis</t>
  </si>
  <si>
    <t>扣件</t>
  </si>
  <si>
    <t>墙板卡扣</t>
  </si>
  <si>
    <t>100pz Grapas Industriales Para Lambrin Interior Decorativo</t>
  </si>
  <si>
    <t>XQ5-QP055</t>
  </si>
  <si>
    <t>Goniómetro 1/2 Para Torque Angular Y Cabezal Cuadrado | Envío gratis (mercadolibre.com.mx)</t>
  </si>
  <si>
    <t>角度尺</t>
  </si>
  <si>
    <t>角度扭力规</t>
  </si>
  <si>
    <t>Goniómetro 1/2 Para Torque Angular Y Cabezal Cuadrado</t>
  </si>
  <si>
    <t>XQ5-QP056</t>
  </si>
  <si>
    <t>https://www.mercadolibre.com.mx/1-pieza-multifuncional-6-en-1-llave-para-ajustar-rayos-moto/up/MLMU3077502231#polycard_client=search-nordic&amp;search_layout=grid&amp;position=2&amp;type=product&amp;tracking_id=c0575694-0252-4634-80a6-7741b0323090&amp;wid=MLM2263346891&amp;sid=search</t>
  </si>
  <si>
    <t>扳手</t>
  </si>
  <si>
    <t>辐条扳手</t>
  </si>
  <si>
    <t>1 Pieza Multifuncional 6 En 1 Llave Para Ajustar Rayos Moto</t>
  </si>
  <si>
    <t>XQ5-QP057</t>
  </si>
  <si>
    <t>Electroválvula Válvula Agua 1/4 Solenoide 24 V Arduino Pic | Envío gratis (mercadolibre.com.mx)</t>
  </si>
  <si>
    <t>进水电磁阀</t>
  </si>
  <si>
    <t>Electroválvula Válvula Agua 1/4 Solenoide 24 V Arduino Pic</t>
  </si>
  <si>
    <t>XQ5-QP058</t>
  </si>
  <si>
    <t>Cargador De Batería Para Dewalt Litio Dcb112 12v 14.4v 18v | Envío gratis (mercadolibre.com.mx)</t>
  </si>
  <si>
    <t>电池充电器</t>
  </si>
  <si>
    <t>锂电池充电器</t>
  </si>
  <si>
    <t>Cargador De Batería Para Dewalt Litio Dcb112 12v 14.4v 18v</t>
  </si>
  <si>
    <t>XQ5-QP059</t>
  </si>
  <si>
    <t>Balanza Cuchara Digital Medidora Precisión 0.1 A 500g | Envío gratis</t>
  </si>
  <si>
    <t>厨房秤</t>
  </si>
  <si>
    <t>手持勺子秤</t>
  </si>
  <si>
    <t>Balanza Cuchara Digital Medidora Precisión 0.1 A 500g</t>
  </si>
  <si>
    <t>XQ5-YL030</t>
  </si>
  <si>
    <t>Soporte Con Ventosa Compatible Con Gopro Hero 13 12 11 10 9 | MercadoLibre</t>
  </si>
  <si>
    <t>吸盘支架</t>
  </si>
  <si>
    <t>Soporte Con Ventosa Compatible Con Gopro Hero 13 12 11 10 9</t>
  </si>
  <si>
    <t>XQ5-YL031</t>
  </si>
  <si>
    <t>Acero Inox Taza De Calefacción Eléctrica En El Coche Plateado | Envío gratis</t>
  </si>
  <si>
    <t>电热杯</t>
  </si>
  <si>
    <t>保温电热杯</t>
  </si>
  <si>
    <t>Acero Inox Taza De Calefacción Eléctrica En El Coche Plateado</t>
  </si>
  <si>
    <t>XQ5-YL032</t>
  </si>
  <si>
    <t>图片</t>
  </si>
  <si>
    <t>12月25日 DJ20251225（ BL25122419334）</t>
  </si>
  <si>
    <t>12月21日 DJ2025122101（ BL25122018992）</t>
  </si>
  <si>
    <t>12月21日 DJ20251221（ BL25122018990）</t>
  </si>
  <si>
    <t>12月20日 DJ20251220（ BL25121918870）</t>
  </si>
  <si>
    <t>12月18日 DJ20251219（BL25121818775）</t>
  </si>
  <si>
    <t>11月27日 DJ20251127（ BL25112714952）</t>
  </si>
  <si>
    <t>11月19日 DJ20251119（BL25112114200）</t>
  </si>
  <si>
    <t>11月13日 DJ20251113（BL25111312683）</t>
  </si>
  <si>
    <t>11月6日 DJDMC067(ZYS018213)</t>
  </si>
  <si>
    <t>11月5日 DJDMC065(ZYS018124)</t>
  </si>
  <si>
    <t>TAcos</t>
  </si>
  <si>
    <t>预调价格</t>
  </si>
  <si>
    <t>企业增值税（10.5%）</t>
  </si>
  <si>
    <t>旧_毛利率</t>
  </si>
  <si>
    <t>14</t>
  </si>
  <si>
    <t>Andadera Ortopedica de Doble Apoyo para Adulto Andador Ortopédico de Aluminio Plegable Soporta 100kg Tikun Color Negro</t>
  </si>
  <si>
    <t>1</t>
  </si>
  <si>
    <t>walking aid</t>
  </si>
  <si>
    <t>Andadera Ortopédica Fija Tikun Para Adulto Plegable De Aluminio Negro</t>
  </si>
  <si>
    <t>12</t>
  </si>
  <si>
    <t>Trípode Versátil Con Base De Metal Y 4 Ganchos Ajustables | Envío gratis (mercadolibre.com.mx)</t>
  </si>
  <si>
    <t>输液架-伸缩带板</t>
  </si>
  <si>
    <t>Trípode Versátil Con Base De Metal Y 4 Ganchos Ajustables</t>
  </si>
  <si>
    <t>SSDB-XQ5-SYJ</t>
  </si>
  <si>
    <t>浴巾</t>
  </si>
  <si>
    <t>婴儿浴巾-粉色小猫抱被80*80</t>
  </si>
  <si>
    <t>Toalla Para Bebe Animales Niños Divertidos Franela Frazada</t>
  </si>
  <si>
    <t>XQ5-ZH-LC-YEYJ-Rosa</t>
  </si>
  <si>
    <t>婴儿浴巾-蓝色小狗抱被80*80</t>
  </si>
  <si>
    <t>XQ5-ZH-LC-YEYJ-Azul</t>
  </si>
  <si>
    <t>婴儿浴巾-灰色大象抱被80*80</t>
  </si>
  <si>
    <t>XQ5-ZH-LC-YEYJ-Gris</t>
  </si>
  <si>
    <t>刹车油管</t>
  </si>
  <si>
    <t>通用刹车油管-黄色-1米</t>
  </si>
  <si>
    <t>Manguera Linea Freno Delantero Universal 1 Metro Motocicleta</t>
  </si>
  <si>
    <t>XQ5-CT7-TYSCYG-Amarillo</t>
  </si>
  <si>
    <t>11</t>
  </si>
  <si>
    <t>通用刹车油管-黑色-1米</t>
  </si>
  <si>
    <t>XQ5-CT7-TYSCYG-Negro</t>
  </si>
  <si>
    <t>通用刹车油管-灰色-1米</t>
  </si>
  <si>
    <t>XQ5-CT7-TYSCYG-Gris</t>
  </si>
  <si>
    <t>通用刹车油管-蓝色-1米</t>
  </si>
  <si>
    <t>XQ5-CT7-TYSCYG-Azul</t>
  </si>
  <si>
    <t>链条刷</t>
  </si>
  <si>
    <t>链条刷-蓝色加强版链条刷</t>
  </si>
  <si>
    <t>Cepillo Limpiador Cadena Moto Sprock Bici Engranes Universal</t>
  </si>
  <si>
    <t>XQ5-CT7-LTS-Azul</t>
  </si>
  <si>
    <t>链条刷-黑色加强版链条刷</t>
  </si>
  <si>
    <t>XQ5-CT7-LTS-Negro</t>
  </si>
  <si>
    <t>网眼袜</t>
  </si>
  <si>
    <t>儿童春夏网眼袜5pk-1701彩虹夏日网眼袜-L</t>
  </si>
  <si>
    <t>Calceta 3/4 Para Niños 5 Pares</t>
  </si>
  <si>
    <t>XQ5-LC-ETXJW5PK-Arco Iris-L</t>
  </si>
  <si>
    <t>儿童春夏网眼袜5pk-1701彩虹夏日网眼袜-XL</t>
  </si>
  <si>
    <t>XQ5-LC-ETXJW5PK-Arco Iris-XL</t>
  </si>
  <si>
    <t>儿童春夏网眼袜5pk-1702缤纷花朵网眼袜-L</t>
  </si>
  <si>
    <t>XQ5-LC-ETXJW5PK-Flor-L</t>
  </si>
  <si>
    <t>儿童春夏网眼袜5pk-1702缤纷花朵网眼袜-XL</t>
  </si>
  <si>
    <t>XQ5-LC-ETXJW5PK-Flor-XL</t>
  </si>
  <si>
    <t>防水袋</t>
  </si>
  <si>
    <t>游泳防水袋-1PK-云梦蓝</t>
  </si>
  <si>
    <t>1pz Funda Bolsa Protectora Impermeable Para Teléfono Móvil</t>
  </si>
  <si>
    <t>XQ5-LC-YYFSD-Azul-1PK</t>
  </si>
  <si>
    <t>游泳防水袋-1PK-柔雾粉</t>
  </si>
  <si>
    <t>XQ5-LC-YYFSD-Rosa-1PK</t>
  </si>
  <si>
    <t>游泳防水袋-2PK-云梦蓝</t>
  </si>
  <si>
    <t>2pz Funda Bolsa Protectora Impermeable Para Teléfono Móvil</t>
  </si>
  <si>
    <t>XQ5-LC-YYFSD-Azul-2PK</t>
  </si>
  <si>
    <t>游泳防水袋-2PK-柔雾粉</t>
  </si>
  <si>
    <t>XQ5-LC-YYFSD-Rosa-2PK</t>
  </si>
  <si>
    <t>收纳盒</t>
  </si>
  <si>
    <t>手表收纳盒-12位 1号</t>
  </si>
  <si>
    <t>Estuche Organizador De Caja Para Reloje Y Joyas Porta Reloje</t>
  </si>
  <si>
    <t>XQ5-LC-SBSNH-Negro-12</t>
  </si>
  <si>
    <t>Muelle De Reloj Para Nissan Navara D23 Np300 Fix | Meses sin interés</t>
  </si>
  <si>
    <t>Muelle De Reloj Para Nissan Navara D23 Np300 Fix</t>
  </si>
  <si>
    <t>Muelle De Reloj En Espiral For Mazda 3 2004-2009 Negro | Meses sin interés</t>
  </si>
  <si>
    <t>Muelle De Reloj En Espiral For Mazda 3 2004-2009 Negro</t>
  </si>
  <si>
    <t>Resorte Reloj Para Nissan Versa 2012-2019 March 2012-2020 Negro | MercadoLibre</t>
  </si>
  <si>
    <t>Resorte Reloj Para Nissan Versa 2012-2019 March 2012-2020 Negro</t>
  </si>
  <si>
    <t>Resorte Reloj Sensor Angulo Para Jeep Patriot 2007-2016 | Meses sin interés</t>
  </si>
  <si>
    <t>Resorte Reloj Sensor Angulo Para Jeep Patriot 2007-2016</t>
  </si>
  <si>
    <t>Resorte Reloj Pista Carrete Espiral Toyota Camry 2007-2011 Negro | Envío gratis</t>
  </si>
  <si>
    <t>Resorte Reloj Pista Carrete Espiral Toyota Camry 2007-2011 Negro</t>
  </si>
  <si>
    <t>Resorte Reloj Pista Carrete Espiral Para Toyota Tacoma 05-14 | Meses sin interés</t>
  </si>
  <si>
    <t>Resorte Reloj Pista Carrete Espiral Para Toyota Tacoma 05-14</t>
  </si>
  <si>
    <t>https://www.mercadolibre.com.mx/bomba-vacio-frenos-booster-onix-10-12-2021-2022-2023/up/MLMU972477112#polycard_client=search_best-seller&amp;tracking_id=3c18b138-a467-4712-b0f4-7ba7befef20b&amp;wid=MLM3063989286&amp;sid=search</t>
  </si>
  <si>
    <t>Bomba Vacio Frenos Booster Onix 1.0 1.2 2021 2022 2023</t>
  </si>
  <si>
    <t>Par De Amortiguadores De Cajuela Para Nissan March 2012-2018 | MercadoLibre</t>
  </si>
  <si>
    <t>Par De Amortiguadores De Cajuela Para Nissan March 2012-2018</t>
  </si>
  <si>
    <t>Par De Amortiguadores Cajuela Vw Pointer 1998 Al 2009 Oep | Meses sin interés</t>
  </si>
  <si>
    <t xml:space="preserve"> 
60</t>
  </si>
  <si>
    <t>双层置物台-96*48*90</t>
  </si>
  <si>
    <t>XQ5-YL006</t>
  </si>
  <si>
    <t>双层置物台-110*60*90</t>
  </si>
  <si>
    <t>XQ5-YL014</t>
  </si>
  <si>
    <t>Información del producto</t>
  </si>
  <si>
    <t>历史分析（7天）</t>
  </si>
  <si>
    <t>近7日销量</t>
  </si>
  <si>
    <t>昨日销量</t>
  </si>
  <si>
    <t>商品分析</t>
  </si>
  <si>
    <t>商品ID</t>
  </si>
  <si>
    <t>折扣价(MXN)</t>
  </si>
  <si>
    <t>原价(MXN)</t>
  </si>
  <si>
    <t>近7天访问量</t>
  </si>
  <si>
    <r>
      <rPr>
        <b/>
        <sz val="10"/>
        <color rgb="FF000000"/>
        <rFont val="Arial"/>
        <charset val="134"/>
      </rPr>
      <t>Unidades que afectan la</t>
    </r>
    <r>
      <rPr>
        <b/>
        <sz val="10"/>
        <color rgb="FF000000"/>
        <rFont val="Arial"/>
        <charset val="134"/>
      </rPr>
      <t xml:space="preserve"> </t>
    </r>
    <r>
      <rPr>
        <b/>
        <u/>
        <sz val="10"/>
        <color rgb="FF1155CC"/>
        <rFont val="Arial"/>
        <charset val="134"/>
      </rPr>
      <t>métrica "Con antigüedad"</t>
    </r>
  </si>
  <si>
    <t>Unidades aptas para vender</t>
  </si>
  <si>
    <t>广告流量</t>
  </si>
  <si>
    <t>ACoS</t>
  </si>
  <si>
    <t>广告花费(MXN)</t>
  </si>
  <si>
    <t>直接销量</t>
  </si>
  <si>
    <t>间接销量</t>
  </si>
  <si>
    <t>TACOS(ACOAS)</t>
  </si>
  <si>
    <t>ROAS</t>
  </si>
  <si>
    <t>30天广告</t>
  </si>
  <si>
    <t>Stock en tu depósito</t>
  </si>
  <si>
    <t>CT7-DKPT(2PK)-DP(2PK)</t>
  </si>
  <si>
    <t>0.00%</t>
  </si>
  <si>
    <t>2.08%</t>
  </si>
  <si>
    <t>3.91%</t>
  </si>
  <si>
    <t>6.50%</t>
  </si>
  <si>
    <t>2.96%</t>
  </si>
  <si>
    <t>11.79%</t>
  </si>
  <si>
    <t>Obligatorio</t>
  </si>
  <si>
    <t>CT7-XZQQ-XZ2-XA30-Negro-37</t>
  </si>
  <si>
    <t>75.94%</t>
  </si>
  <si>
    <t>18.99%</t>
  </si>
  <si>
    <t>6.99%</t>
  </si>
  <si>
    <t>16.45%</t>
  </si>
  <si>
    <t>12.34%</t>
  </si>
  <si>
    <t>1.92%</t>
  </si>
  <si>
    <t>46.23%</t>
  </si>
  <si>
    <t>7.70%</t>
  </si>
  <si>
    <t>7.90%</t>
  </si>
  <si>
    <t>2.28%</t>
  </si>
  <si>
    <t>1.53%</t>
  </si>
  <si>
    <t>4.21%</t>
  </si>
  <si>
    <t>9.16%</t>
  </si>
  <si>
    <t>4.58%</t>
  </si>
  <si>
    <t>1.61%</t>
  </si>
  <si>
    <t>--</t>
  </si>
  <si>
    <t>3.20%</t>
  </si>
  <si>
    <t>1.93%</t>
  </si>
  <si>
    <t>42.21%</t>
  </si>
  <si>
    <t>10.48%</t>
  </si>
  <si>
    <t>6.37%</t>
  </si>
  <si>
    <t>17.27%</t>
  </si>
  <si>
    <t>19.03%</t>
  </si>
  <si>
    <t>5.99%</t>
  </si>
  <si>
    <t>1.20%</t>
  </si>
  <si>
    <t>5.52%</t>
  </si>
  <si>
    <t>7.47%</t>
  </si>
  <si>
    <t>5.76%</t>
  </si>
  <si>
    <t>6.93%</t>
  </si>
  <si>
    <t>7.65%</t>
  </si>
  <si>
    <t>0.78%</t>
  </si>
  <si>
    <t>7.15%</t>
  </si>
  <si>
    <t>1.56%</t>
  </si>
  <si>
    <t>1.96%</t>
  </si>
  <si>
    <t>6.53%</t>
  </si>
  <si>
    <t>8.57%</t>
  </si>
  <si>
    <t>5.49%</t>
  </si>
  <si>
    <t>2.83%</t>
  </si>
  <si>
    <t>1.97%</t>
  </si>
  <si>
    <t>45.69%</t>
  </si>
  <si>
    <t>8.05%</t>
  </si>
  <si>
    <t>3.99%</t>
  </si>
  <si>
    <t>17.58%</t>
  </si>
  <si>
    <t>2.51%</t>
  </si>
  <si>
    <t>11.03%</t>
  </si>
  <si>
    <t>2.92%</t>
  </si>
  <si>
    <t>2.43%</t>
  </si>
  <si>
    <t>8.26%</t>
  </si>
  <si>
    <t>5.50%</t>
  </si>
  <si>
    <t>12.50%</t>
  </si>
  <si>
    <t>2.50%</t>
  </si>
  <si>
    <t>2.04%</t>
  </si>
  <si>
    <t>2.94%</t>
  </si>
  <si>
    <t>6.03%</t>
  </si>
  <si>
    <t>12.28%</t>
  </si>
  <si>
    <t>3.84%</t>
  </si>
  <si>
    <t>0.05%</t>
  </si>
  <si>
    <t>0.11%</t>
  </si>
  <si>
    <t>最低价格</t>
  </si>
  <si>
    <t>​​重量范围 (kg)​​</t>
  </si>
  <si>
    <t>299–498.99 USD​​的新产品，可享受60%的折扣</t>
  </si>
  <si>
    <t xml:space="preserve"> ​​≥499美元的新产品，可享受50%的折扣</t>
  </si>
  <si>
    <t>​​≤ 0.3​​</t>
  </si>
  <si>
    <t>​​0.3 - 0.5​​</t>
  </si>
  <si>
    <t>​​0.5 - 1​​</t>
  </si>
  <si>
    <t>​​1 - 2​​</t>
  </si>
  <si>
    <t>​​2 - 3​​</t>
  </si>
  <si>
    <t>​​3 - 4​​</t>
  </si>
  <si>
    <t>​​4 - 5​​</t>
  </si>
  <si>
    <t>​​5 - 7​​</t>
  </si>
  <si>
    <t>​​7 - 9​​</t>
  </si>
  <si>
    <t>​​9 - 12​​</t>
  </si>
  <si>
    <t>​​12 - 15​​</t>
  </si>
  <si>
    <t>​​15 - 20​​</t>
  </si>
  <si>
    <t>​​20 - 30​​</t>
  </si>
  <si>
    <t>​​30 - 40​​</t>
  </si>
  <si>
    <t>​​40 - 50​​</t>
  </si>
  <si>
    <t>​​50 - 60​​</t>
  </si>
  <si>
    <t>​​60 - 70​​</t>
  </si>
  <si>
    <t>​​70 - 80​​</t>
  </si>
  <si>
    <t>​​80 - 90​​</t>
  </si>
  <si>
    <t>​​90 - 100​​</t>
  </si>
  <si>
    <t>​​100 - 125​​</t>
  </si>
  <si>
    <t>​​125 - 150​​</t>
  </si>
  <si>
    <t>​​150 - 175​​</t>
  </si>
  <si>
    <t>​​175 - 200​​</t>
  </si>
  <si>
    <t>​​200 - 225​​</t>
  </si>
  <si>
    <t>​​225 - 250​​</t>
  </si>
  <si>
    <t>​​250 - 275​​</t>
  </si>
  <si>
    <t>​​275 - 300​​</t>
  </si>
  <si>
    <t>​​300 - 325​​</t>
  </si>
  <si>
    <t>​​325 - 350​​</t>
  </si>
  <si>
    <t>​​&gt; 350​​</t>
  </si>
  <si>
    <t>日期</t>
  </si>
  <si>
    <t>站点</t>
  </si>
  <si>
    <t>店铺名称</t>
  </si>
  <si>
    <t>商品名称</t>
  </si>
  <si>
    <t>中文名称</t>
  </si>
  <si>
    <t>广告税费(MXN)</t>
  </si>
  <si>
    <t>CPC</t>
  </si>
  <si>
    <t>广告销售额(MXN)</t>
  </si>
  <si>
    <t>自然销量占比</t>
  </si>
  <si>
    <t>自然销售额</t>
  </si>
  <si>
    <t>自然销售额占比</t>
  </si>
  <si>
    <t>点击率</t>
  </si>
  <si>
    <t>转化率</t>
  </si>
  <si>
    <t>总库存</t>
  </si>
  <si>
    <t>可用库存</t>
  </si>
  <si>
    <t>2026-01-30~2026-02-05</t>
  </si>
  <si>
    <t>Mexico</t>
  </si>
  <si>
    <t>XQ5-XQ5WANDA</t>
  </si>
  <si>
    <t>MLM4239173046</t>
  </si>
  <si>
    <t>15.47%</t>
  </si>
  <si>
    <t>16.67%</t>
  </si>
  <si>
    <t>16.57%</t>
  </si>
  <si>
    <t>0.22%</t>
  </si>
  <si>
    <t>6.62%</t>
  </si>
  <si>
    <t>12.91%</t>
  </si>
  <si>
    <t>MLM4238819076</t>
  </si>
  <si>
    <t>7.68%</t>
  </si>
  <si>
    <t>50.00%</t>
  </si>
  <si>
    <t>7.04%</t>
  </si>
  <si>
    <t>MLM2515831365</t>
  </si>
  <si>
    <t>100.00%</t>
  </si>
  <si>
    <t>0.31%</t>
  </si>
  <si>
    <t>1.86%</t>
  </si>
  <si>
    <t>Resorte De Reloj Para Toyota Tacoma Corolla 2009 - 2013 Bsj Como Se Muestra En Las Imágenes</t>
  </si>
  <si>
    <t>MLM2696975635</t>
  </si>
  <si>
    <t>8.27%</t>
  </si>
  <si>
    <t>0.65%</t>
  </si>
  <si>
    <t>36.84%</t>
  </si>
  <si>
    <t>Resorte Reloj Sensor Para Jeep Patriot 2007 A 2016 Como Se Muestra En Las Imágenes</t>
  </si>
  <si>
    <t>MLM2697065107</t>
  </si>
  <si>
    <t>4.24%</t>
  </si>
  <si>
    <t>0.55%</t>
  </si>
  <si>
    <t>33.33%</t>
  </si>
  <si>
    <t>Resorte Reloj S/sensor Ángulo Compass Patriot 200 2007-2018 Como Se Muestra En Las Imágenes</t>
  </si>
  <si>
    <t>MLM2696841915</t>
  </si>
  <si>
    <t>0.07%</t>
  </si>
  <si>
    <t>Resorte Reloj Pista Carrete Para Nissan X-tail Tiida 07-18 Como Se Muestra En Las Imágenes</t>
  </si>
  <si>
    <t>MLM4684057184</t>
  </si>
  <si>
    <t>0.35%</t>
  </si>
  <si>
    <t>Resorte Reloj Para Elantra Sonata 2011 2012 2013 2014 2015 Como Se Muestra En Las Imágenes</t>
  </si>
  <si>
    <t>MLM4687079756</t>
  </si>
  <si>
    <t>0.38%</t>
  </si>
  <si>
    <t>Fy Pista Carrete Resorte Reloj Para Chevrolet Beat 2018-2021 Como Se Muestra En Las Imágenes</t>
  </si>
  <si>
    <t>MLM4684059764</t>
  </si>
  <si>
    <t>0.27%</t>
  </si>
  <si>
    <t>MLM4686991600</t>
  </si>
  <si>
    <t>Fy Carrete Resorte Reloj Espiral For Aveo Ng 2018/21 Como Se Muestra En Las Imágenes</t>
  </si>
  <si>
    <t>MLM4687080914</t>
  </si>
  <si>
    <t>4.13%</t>
  </si>
  <si>
    <t>90.00%</t>
  </si>
  <si>
    <t>91.76%</t>
  </si>
  <si>
    <t>2.71%</t>
  </si>
  <si>
    <t>11.11%</t>
  </si>
  <si>
    <t>0.34%</t>
  </si>
  <si>
    <t>MLM4687109248</t>
  </si>
  <si>
    <t>0.21%</t>
  </si>
  <si>
    <t>MLM4684129758</t>
  </si>
  <si>
    <t>1.16%</t>
  </si>
  <si>
    <t>MLM4687042964</t>
  </si>
  <si>
    <t>1.38%</t>
  </si>
  <si>
    <t>MLM2698981225</t>
  </si>
  <si>
    <t>1.14%</t>
  </si>
  <si>
    <t>Resorte Reloj Pista Carrete Nissan X-trail 2008-2014 1 Cable Como Se Muestra En Las Imágenes</t>
  </si>
  <si>
    <t>MLM4687132032</t>
  </si>
  <si>
    <t>1.49%</t>
  </si>
  <si>
    <t>Modulo Moto Ventilador Ford Edge 3.5l 2007 Al 2015 Como Se Muestra En Las Imágenes</t>
  </si>
  <si>
    <t>MLM4683845582</t>
  </si>
  <si>
    <t>1.82%</t>
  </si>
  <si>
    <t>MLM4683876182</t>
  </si>
  <si>
    <t>1.89%</t>
  </si>
  <si>
    <t>Modulo Control Ventilador Focus 2 Mazda 3 Volvo C30 S40 V50 Como Se Muestra En Las Imágenes</t>
  </si>
  <si>
    <t>MLM4683730910</t>
  </si>
  <si>
    <t>Espiral Reloj Pista Carrete Mazda 3 2004 2005 2006 2007 2008 Como Se Muestra En Las Imágenes</t>
  </si>
  <si>
    <t>MLM4700259114</t>
  </si>
  <si>
    <t>3.13%</t>
  </si>
  <si>
    <t>Modulo Ventilador Para Mazda 3 5 Ford Focus Fusion Escape Como Se Muestra En Las Imágenes</t>
  </si>
  <si>
    <t>MLM4683662970</t>
  </si>
  <si>
    <t>MLM4687030984</t>
  </si>
  <si>
    <t>4.35%</t>
  </si>
  <si>
    <t>MLM2698823949</t>
  </si>
  <si>
    <t>MLM4687019062</t>
  </si>
  <si>
    <t>MLM4686940782</t>
  </si>
  <si>
    <t>Modulo Ventilador Ford Land Rover Jaguar Volvo S60 Xc60 Como Se Muestra En Las Imágenes</t>
  </si>
  <si>
    <t>MLM4683874212</t>
  </si>
  <si>
    <t>9.09%</t>
  </si>
  <si>
    <t>Resorte Reloj Pista Carrete Espiral Toyota Tacoma 2005-2014 Como Se Muestra En Las Imágenes</t>
  </si>
  <si>
    <t>MLM4687067332</t>
  </si>
  <si>
    <t>Muelle Reloj Para Nissan Np300 Navara D23 2.5lts 2016-2020 Como Se Muestra En Las Imágenes</t>
  </si>
  <si>
    <t>MLM2705951099</t>
  </si>
  <si>
    <t>MLM2698915223</t>
  </si>
  <si>
    <t>MLM2698952707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</si>
</sst>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###0_)"/>
    <numFmt numFmtId="177" formatCode="0_);[Red]\(0\)"/>
    <numFmt numFmtId="178" formatCode="0.0"/>
    <numFmt numFmtId="179" formatCode="0.0000"/>
    <numFmt numFmtId="180" formatCode="0.0_);[Red]\(0.0\)"/>
    <numFmt numFmtId="181" formatCode="m/d"/>
  </numFmts>
  <fonts count="60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rgb="FF000000"/>
      <name val="Microsoft YaHei Light"/>
      <charset val="134"/>
    </font>
    <font>
      <sz val="10"/>
      <color rgb="FF000000"/>
      <name val="Microsoft YaHei Light"/>
      <charset val="134"/>
    </font>
    <font>
      <sz val="11"/>
      <color rgb="FF000000"/>
      <name val="微软雅黑"/>
      <charset val="134"/>
    </font>
    <font>
      <sz val="12"/>
      <color rgb="FF000000"/>
      <name val="Arial"/>
      <charset val="134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sz val="11"/>
      <color rgb="FF000000"/>
      <name val="宋体"/>
      <charset val="134"/>
    </font>
    <font>
      <b/>
      <sz val="12"/>
      <color rgb="FF000000"/>
      <name val="宋体"/>
      <charset val="134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b/>
      <i/>
      <sz val="10"/>
      <color rgb="FF781A13"/>
      <name val="Arial"/>
      <charset val="134"/>
    </font>
    <font>
      <sz val="10"/>
      <color rgb="FF999999"/>
      <name val="Arial"/>
      <charset val="134"/>
    </font>
    <font>
      <sz val="12"/>
      <color rgb="FF000000"/>
      <name val="微软雅黑"/>
      <charset val="134"/>
    </font>
    <font>
      <sz val="16"/>
      <color theme="1"/>
      <name val="微软雅黑"/>
      <charset val="134"/>
    </font>
    <font>
      <sz val="12"/>
      <color theme="1"/>
      <name val="微软雅黑"/>
      <charset val="134"/>
    </font>
    <font>
      <b/>
      <sz val="16"/>
      <color rgb="FFFF0000"/>
      <name val="微软雅黑"/>
      <charset val="134"/>
    </font>
    <font>
      <b/>
      <sz val="11"/>
      <color theme="1"/>
      <name val="宋体"/>
      <charset val="134"/>
      <scheme val="minor"/>
    </font>
    <font>
      <b/>
      <sz val="10"/>
      <color rgb="FFFF0000"/>
      <name val="微软雅黑"/>
      <charset val="134"/>
    </font>
    <font>
      <b/>
      <sz val="12"/>
      <color rgb="FFFF0000"/>
      <name val="微软雅黑"/>
      <charset val="134"/>
    </font>
    <font>
      <sz val="12"/>
      <color rgb="FF0000FF"/>
      <name val="微软雅黑"/>
      <charset val="134"/>
    </font>
    <font>
      <sz val="12"/>
      <color rgb="FFFFFFFF"/>
      <name val="微软雅黑"/>
      <charset val="134"/>
    </font>
    <font>
      <sz val="12"/>
      <color rgb="FF417FF9"/>
      <name val="微软雅黑"/>
      <charset val="134"/>
    </font>
    <font>
      <b/>
      <sz val="12"/>
      <color rgb="FF000000"/>
      <name val="微软雅黑"/>
      <charset val="134"/>
    </font>
    <font>
      <u/>
      <sz val="16"/>
      <color rgb="FF0000FF"/>
      <name val="微软雅黑"/>
      <charset val="134"/>
    </font>
    <font>
      <sz val="16"/>
      <color rgb="FF000000"/>
      <name val="微软雅黑"/>
      <charset val="134"/>
    </font>
    <font>
      <sz val="14"/>
      <color rgb="FF000000"/>
      <name val="微软雅黑"/>
      <charset val="134"/>
    </font>
    <font>
      <sz val="14"/>
      <color theme="1"/>
      <name val="微软雅黑"/>
      <charset val="134"/>
    </font>
    <font>
      <b/>
      <sz val="14"/>
      <color rgb="FFFF0000"/>
      <name val="微软雅黑"/>
      <charset val="134"/>
    </font>
    <font>
      <b/>
      <sz val="14"/>
      <color theme="1"/>
      <name val="宋体"/>
      <charset val="134"/>
      <scheme val="minor"/>
    </font>
    <font>
      <sz val="14"/>
      <color rgb="FF0000FF"/>
      <name val="微软雅黑"/>
      <charset val="134"/>
    </font>
    <font>
      <sz val="14"/>
      <color rgb="FF417FF9"/>
      <name val="微软雅黑"/>
      <charset val="134"/>
    </font>
    <font>
      <sz val="14"/>
      <color rgb="FFFFFFFF"/>
      <name val="微软雅黑"/>
      <charset val="134"/>
    </font>
    <font>
      <b/>
      <sz val="14"/>
      <color rgb="FF000000"/>
      <name val="微软雅黑"/>
      <charset val="134"/>
    </font>
    <font>
      <u/>
      <sz val="14"/>
      <color rgb="FF0000FF"/>
      <name val="微软雅黑"/>
      <charset val="134"/>
    </font>
    <font>
      <sz val="14"/>
      <color theme="1"/>
      <name val="Arial"/>
      <charset val="134"/>
    </font>
    <font>
      <sz val="14"/>
      <color rgb="FF000000"/>
      <name val="Arial"/>
      <charset val="134"/>
    </font>
    <font>
      <sz val="16.5"/>
      <color theme="1"/>
      <name val="Arial"/>
      <charset val="134"/>
    </font>
    <font>
      <sz val="10.5"/>
      <color rgb="FF606266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0"/>
      <color rgb="FF1155CC"/>
      <name val="Arial"/>
      <charset val="134"/>
    </font>
  </fonts>
  <fills count="5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E5E5E5"/>
        <bgColor rgb="FFE5E5E5"/>
      </patternFill>
    </fill>
    <fill>
      <patternFill patternType="solid">
        <fgColor rgb="FFFFF158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E7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FF706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737373"/>
      </right>
      <top style="thin">
        <color rgb="FF737373"/>
      </top>
      <bottom style="thin">
        <color rgb="FF737373"/>
      </bottom>
      <diagonal/>
    </border>
    <border>
      <left style="thin">
        <color rgb="FF737373"/>
      </left>
      <right style="thin">
        <color rgb="FF737373"/>
      </right>
      <top style="thin">
        <color rgb="FF737373"/>
      </top>
      <bottom style="thin">
        <color rgb="FF737373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737373"/>
      </left>
      <right style="thin">
        <color rgb="FF737373"/>
      </right>
      <top/>
      <bottom style="thin">
        <color rgb="FF73737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22" borderId="10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23" borderId="13" applyNumberFormat="0" applyAlignment="0" applyProtection="0">
      <alignment vertical="center"/>
    </xf>
    <xf numFmtId="0" fontId="49" fillId="24" borderId="14" applyNumberFormat="0" applyAlignment="0" applyProtection="0">
      <alignment vertical="center"/>
    </xf>
    <xf numFmtId="0" fontId="50" fillId="24" borderId="13" applyNumberFormat="0" applyAlignment="0" applyProtection="0">
      <alignment vertical="center"/>
    </xf>
    <xf numFmtId="0" fontId="51" fillId="25" borderId="15" applyNumberFormat="0" applyAlignment="0" applyProtection="0">
      <alignment vertical="center"/>
    </xf>
    <xf numFmtId="0" fontId="52" fillId="0" borderId="16" applyNumberFormat="0" applyFill="0" applyAlignment="0" applyProtection="0">
      <alignment vertical="center"/>
    </xf>
    <xf numFmtId="0" fontId="53" fillId="0" borderId="17" applyNumberFormat="0" applyFill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8" fillId="38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8" fillId="42" borderId="0" applyNumberFormat="0" applyBorder="0" applyAlignment="0" applyProtection="0">
      <alignment vertical="center"/>
    </xf>
    <xf numFmtId="0" fontId="58" fillId="43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8" fillId="46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7" fillId="48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</cellStyleXfs>
  <cellXfs count="21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right" vertical="center" wrapText="1"/>
    </xf>
    <xf numFmtId="0" fontId="4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0" fillId="2" borderId="0" xfId="0" applyFont="1" applyFill="1" applyAlignment="1">
      <alignment horizontal="center" vertical="center"/>
    </xf>
    <xf numFmtId="4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0" fillId="0" borderId="1" xfId="0" applyFont="1" applyFill="1" applyBorder="1" applyAlignment="1">
      <alignment vertical="center"/>
    </xf>
    <xf numFmtId="49" fontId="6" fillId="0" borderId="0" xfId="0" applyNumberFormat="1" applyFont="1" applyAlignment="1"/>
    <xf numFmtId="0" fontId="7" fillId="3" borderId="0" xfId="0" applyFont="1" applyFill="1" applyAlignment="1" applyProtection="1">
      <alignment horizontal="center" vertical="center" wrapText="1"/>
      <protection locked="0"/>
    </xf>
    <xf numFmtId="0" fontId="8" fillId="0" borderId="0" xfId="0" applyFont="1" applyFill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4" fillId="0" borderId="0" xfId="0" applyFont="1" applyAlignment="1">
      <alignment horizontal="right" vertical="center"/>
    </xf>
    <xf numFmtId="0" fontId="7" fillId="5" borderId="0" xfId="0" applyFont="1" applyFill="1" applyAlignment="1" applyProtection="1">
      <alignment horizontal="center" vertical="center" wrapText="1"/>
      <protection locked="0"/>
    </xf>
    <xf numFmtId="0" fontId="7" fillId="6" borderId="0" xfId="0" applyFont="1" applyFill="1" applyAlignment="1" applyProtection="1">
      <alignment horizontal="center" vertical="center" wrapText="1"/>
      <protection locked="0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 wrapText="1"/>
    </xf>
    <xf numFmtId="0" fontId="11" fillId="0" borderId="4" xfId="0" applyFont="1" applyFill="1" applyBorder="1" applyAlignment="1">
      <alignment horizont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right" vertical="center" wrapText="1"/>
    </xf>
    <xf numFmtId="0" fontId="11" fillId="0" borderId="1" xfId="0" applyFont="1" applyFill="1" applyBorder="1" applyAlignment="1">
      <alignment horizontal="center"/>
    </xf>
    <xf numFmtId="0" fontId="12" fillId="7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left" vertical="center" wrapText="1"/>
    </xf>
    <xf numFmtId="3" fontId="6" fillId="0" borderId="6" xfId="0" applyNumberFormat="1" applyFont="1" applyFill="1" applyBorder="1" applyAlignment="1">
      <alignment horizontal="left" vertical="center" wrapText="1"/>
    </xf>
    <xf numFmtId="0" fontId="6" fillId="0" borderId="5" xfId="0" applyFont="1" applyBorder="1" applyAlignment="1" applyProtection="1">
      <alignment horizontal="left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11" fillId="0" borderId="7" xfId="0" applyFont="1" applyFill="1" applyBorder="1" applyAlignment="1">
      <alignment horizontal="center"/>
    </xf>
    <xf numFmtId="176" fontId="11" fillId="0" borderId="7" xfId="0" applyNumberFormat="1" applyFont="1" applyFill="1" applyBorder="1" applyAlignment="1">
      <alignment horizontal="right"/>
    </xf>
    <xf numFmtId="176" fontId="11" fillId="0" borderId="1" xfId="0" applyNumberFormat="1" applyFont="1" applyFill="1" applyBorder="1" applyAlignment="1">
      <alignment horizontal="right"/>
    </xf>
    <xf numFmtId="176" fontId="11" fillId="0" borderId="4" xfId="0" applyNumberFormat="1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right" vertical="center" wrapText="1"/>
    </xf>
    <xf numFmtId="0" fontId="6" fillId="0" borderId="5" xfId="0" applyFont="1" applyFill="1" applyBorder="1" applyAlignment="1" applyProtection="1">
      <alignment horizontal="left" vertical="center"/>
      <protection locked="0"/>
    </xf>
    <xf numFmtId="0" fontId="6" fillId="0" borderId="5" xfId="0" applyFont="1" applyFill="1" applyBorder="1" applyAlignment="1" applyProtection="1">
      <alignment horizontal="center" vertical="center"/>
      <protection locked="0"/>
    </xf>
    <xf numFmtId="0" fontId="13" fillId="8" borderId="5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right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15" fillId="0" borderId="0" xfId="0" applyFont="1" applyFill="1" applyAlignment="1">
      <alignment vertical="center"/>
    </xf>
    <xf numFmtId="0" fontId="15" fillId="0" borderId="0" xfId="0" applyFont="1" applyFill="1" applyAlignment="1">
      <alignment horizontal="left" vertical="center"/>
    </xf>
    <xf numFmtId="0" fontId="15" fillId="0" borderId="0" xfId="0" applyFont="1" applyFill="1" applyAlignment="1">
      <alignment horizontal="left" vertical="center" wrapText="1"/>
    </xf>
    <xf numFmtId="0" fontId="15" fillId="0" borderId="0" xfId="0" applyFont="1" applyFill="1" applyAlignment="1">
      <alignment horizontal="center" vertical="center"/>
    </xf>
    <xf numFmtId="0" fontId="15" fillId="0" borderId="0" xfId="0" applyNumberFormat="1" applyFont="1" applyFill="1" applyAlignment="1">
      <alignment vertical="center"/>
    </xf>
    <xf numFmtId="0" fontId="14" fillId="9" borderId="0" xfId="0" applyFont="1" applyFill="1" applyBorder="1" applyAlignment="1">
      <alignment horizontal="center" vertical="center" wrapText="1"/>
    </xf>
    <xf numFmtId="0" fontId="14" fillId="9" borderId="0" xfId="0" applyNumberFormat="1" applyFont="1" applyFill="1" applyBorder="1" applyAlignment="1">
      <alignment horizontal="center" vertical="center" wrapText="1"/>
    </xf>
    <xf numFmtId="0" fontId="14" fillId="10" borderId="0" xfId="0" applyNumberFormat="1" applyFont="1" applyFill="1" applyBorder="1" applyAlignment="1">
      <alignment horizontal="center" vertical="center" wrapText="1"/>
    </xf>
    <xf numFmtId="0" fontId="14" fillId="10" borderId="0" xfId="0" applyFont="1" applyFill="1" applyBorder="1" applyAlignment="1">
      <alignment horizontal="center" vertical="center" wrapText="1"/>
    </xf>
    <xf numFmtId="0" fontId="14" fillId="10" borderId="0" xfId="0" applyNumberFormat="1" applyFont="1" applyFill="1" applyBorder="1" applyAlignment="1">
      <alignment horizontal="left" vertical="center" wrapText="1"/>
    </xf>
    <xf numFmtId="0" fontId="16" fillId="10" borderId="0" xfId="0" applyFont="1" applyFill="1" applyAlignment="1">
      <alignment horizontal="center" vertical="center" wrapText="1"/>
    </xf>
    <xf numFmtId="58" fontId="14" fillId="9" borderId="0" xfId="0" applyNumberFormat="1" applyFont="1" applyFill="1" applyBorder="1" applyAlignment="1">
      <alignment horizontal="center" vertical="center" wrapText="1"/>
    </xf>
    <xf numFmtId="0" fontId="14" fillId="9" borderId="0" xfId="0" applyFont="1" applyFill="1" applyBorder="1" applyAlignment="1">
      <alignment horizontal="left" vertical="center" wrapText="1"/>
    </xf>
    <xf numFmtId="0" fontId="14" fillId="9" borderId="0" xfId="0" applyNumberFormat="1" applyFont="1" applyFill="1" applyBorder="1" applyAlignment="1">
      <alignment horizontal="left" vertical="center" wrapText="1"/>
    </xf>
    <xf numFmtId="0" fontId="14" fillId="11" borderId="0" xfId="0" applyFont="1" applyFill="1" applyBorder="1" applyAlignment="1">
      <alignment horizontal="center" vertical="center" wrapText="1"/>
    </xf>
    <xf numFmtId="0" fontId="14" fillId="11" borderId="0" xfId="0" applyFont="1" applyFill="1" applyBorder="1" applyAlignment="1">
      <alignment horizontal="left" vertical="center" wrapText="1"/>
    </xf>
    <xf numFmtId="177" fontId="14" fillId="11" borderId="0" xfId="0" applyNumberFormat="1" applyFont="1" applyFill="1" applyBorder="1" applyAlignment="1">
      <alignment horizontal="left" vertical="center" wrapText="1"/>
    </xf>
    <xf numFmtId="0" fontId="14" fillId="11" borderId="0" xfId="0" applyNumberFormat="1" applyFont="1" applyFill="1" applyBorder="1" applyAlignment="1">
      <alignment horizontal="center" vertical="center" wrapText="1"/>
    </xf>
    <xf numFmtId="14" fontId="14" fillId="11" borderId="0" xfId="0" applyNumberFormat="1" applyFont="1" applyFill="1" applyBorder="1" applyAlignment="1">
      <alignment horizontal="center" vertical="center" wrapText="1"/>
    </xf>
    <xf numFmtId="177" fontId="14" fillId="11" borderId="0" xfId="0" applyNumberFormat="1" applyFont="1" applyFill="1" applyBorder="1" applyAlignment="1">
      <alignment horizontal="center" vertical="center" wrapText="1"/>
    </xf>
    <xf numFmtId="10" fontId="14" fillId="11" borderId="0" xfId="0" applyNumberFormat="1" applyFont="1" applyFill="1" applyBorder="1" applyAlignment="1">
      <alignment horizontal="center" vertical="center" wrapText="1"/>
    </xf>
    <xf numFmtId="0" fontId="14" fillId="12" borderId="0" xfId="0" applyNumberFormat="1" applyFont="1" applyFill="1" applyBorder="1" applyAlignment="1">
      <alignment horizontal="center" vertical="center" wrapText="1"/>
    </xf>
    <xf numFmtId="0" fontId="14" fillId="12" borderId="0" xfId="0" applyFont="1" applyFill="1" applyBorder="1" applyAlignment="1">
      <alignment horizontal="left" vertical="center" wrapText="1"/>
    </xf>
    <xf numFmtId="0" fontId="14" fillId="13" borderId="0" xfId="0" applyNumberFormat="1" applyFont="1" applyFill="1" applyBorder="1" applyAlignment="1">
      <alignment horizontal="center" vertical="center" wrapText="1"/>
    </xf>
    <xf numFmtId="10" fontId="14" fillId="13" borderId="0" xfId="0" applyNumberFormat="1" applyFont="1" applyFill="1" applyBorder="1" applyAlignment="1">
      <alignment horizontal="center" vertical="center" wrapText="1"/>
    </xf>
    <xf numFmtId="0" fontId="14" fillId="14" borderId="0" xfId="0" applyNumberFormat="1" applyFont="1" applyFill="1" applyBorder="1" applyAlignment="1">
      <alignment horizontal="center" vertical="center" wrapText="1"/>
    </xf>
    <xf numFmtId="0" fontId="14" fillId="15" borderId="0" xfId="0" applyNumberFormat="1" applyFont="1" applyFill="1" applyBorder="1" applyAlignment="1">
      <alignment horizontal="center" vertical="center" wrapText="1"/>
    </xf>
    <xf numFmtId="177" fontId="14" fillId="10" borderId="0" xfId="0" applyNumberFormat="1" applyFont="1" applyFill="1" applyBorder="1" applyAlignment="1">
      <alignment horizontal="center" vertical="center" wrapText="1"/>
    </xf>
    <xf numFmtId="58" fontId="14" fillId="16" borderId="0" xfId="0" applyNumberFormat="1" applyFont="1" applyFill="1" applyBorder="1" applyAlignment="1">
      <alignment horizontal="center" vertical="center" wrapText="1"/>
    </xf>
    <xf numFmtId="58" fontId="14" fillId="2" borderId="0" xfId="0" applyNumberFormat="1" applyFont="1" applyFill="1" applyBorder="1" applyAlignment="1">
      <alignment horizontal="center" vertical="center" wrapText="1"/>
    </xf>
    <xf numFmtId="58" fontId="14" fillId="13" borderId="0" xfId="0" applyNumberFormat="1" applyFont="1" applyFill="1" applyBorder="1" applyAlignment="1">
      <alignment horizontal="center" vertical="center" wrapText="1"/>
    </xf>
    <xf numFmtId="0" fontId="14" fillId="17" borderId="0" xfId="0" applyNumberFormat="1" applyFont="1" applyFill="1" applyBorder="1" applyAlignment="1">
      <alignment horizontal="center" vertical="center" wrapText="1"/>
    </xf>
    <xf numFmtId="0" fontId="17" fillId="18" borderId="7" xfId="0" applyNumberFormat="1" applyFont="1" applyFill="1" applyBorder="1" applyAlignment="1">
      <alignment horizontal="center" vertical="center" wrapText="1"/>
    </xf>
    <xf numFmtId="49" fontId="18" fillId="18" borderId="0" xfId="0" applyNumberFormat="1" applyFont="1" applyFill="1" applyBorder="1" applyAlignment="1">
      <alignment horizontal="center" vertical="center" wrapText="1"/>
    </xf>
    <xf numFmtId="49" fontId="19" fillId="18" borderId="9" xfId="0" applyNumberFormat="1" applyFont="1" applyFill="1" applyBorder="1" applyAlignment="1">
      <alignment horizontal="center" vertical="center" wrapText="1"/>
    </xf>
    <xf numFmtId="49" fontId="20" fillId="18" borderId="9" xfId="0" applyNumberFormat="1" applyFont="1" applyFill="1" applyBorder="1" applyAlignment="1">
      <alignment horizontal="center" vertical="center" wrapText="1"/>
    </xf>
    <xf numFmtId="49" fontId="14" fillId="17" borderId="0" xfId="0" applyNumberFormat="1" applyFont="1" applyFill="1" applyBorder="1" applyAlignment="1">
      <alignment horizontal="center" vertical="center" wrapText="1"/>
    </xf>
    <xf numFmtId="177" fontId="14" fillId="17" borderId="0" xfId="0" applyNumberFormat="1" applyFont="1" applyFill="1" applyBorder="1" applyAlignment="1">
      <alignment horizontal="center" vertical="center" wrapText="1"/>
    </xf>
    <xf numFmtId="49" fontId="14" fillId="9" borderId="0" xfId="0" applyNumberFormat="1" applyFont="1" applyFill="1" applyBorder="1" applyAlignment="1">
      <alignment horizontal="center" vertical="center" wrapText="1"/>
    </xf>
    <xf numFmtId="0" fontId="14" fillId="19" borderId="0" xfId="0" applyNumberFormat="1" applyFont="1" applyFill="1" applyBorder="1" applyAlignment="1">
      <alignment horizontal="center" vertical="center" wrapText="1"/>
    </xf>
    <xf numFmtId="0" fontId="21" fillId="12" borderId="0" xfId="0" applyNumberFormat="1" applyFont="1" applyFill="1" applyBorder="1" applyAlignment="1">
      <alignment horizontal="center" vertical="center" wrapText="1"/>
    </xf>
    <xf numFmtId="0" fontId="21" fillId="0" borderId="0" xfId="0" applyNumberFormat="1" applyFont="1" applyFill="1" applyBorder="1" applyAlignment="1">
      <alignment horizontal="center" vertical="center" wrapText="1"/>
    </xf>
    <xf numFmtId="0" fontId="22" fillId="20" borderId="0" xfId="0" applyNumberFormat="1" applyFont="1" applyFill="1" applyBorder="1" applyAlignment="1">
      <alignment horizontal="center" vertical="center" wrapText="1"/>
    </xf>
    <xf numFmtId="0" fontId="23" fillId="17" borderId="0" xfId="0" applyNumberFormat="1" applyFont="1" applyFill="1" applyBorder="1" applyAlignment="1">
      <alignment horizontal="center" vertical="center" wrapText="1"/>
    </xf>
    <xf numFmtId="0" fontId="22" fillId="20" borderId="0" xfId="0" applyFont="1" applyFill="1" applyBorder="1" applyAlignment="1">
      <alignment horizontal="left" vertical="center" wrapText="1"/>
    </xf>
    <xf numFmtId="0" fontId="22" fillId="20" borderId="0" xfId="0" applyFont="1" applyFill="1" applyBorder="1" applyAlignment="1">
      <alignment horizontal="center" vertical="center" wrapText="1"/>
    </xf>
    <xf numFmtId="0" fontId="24" fillId="9" borderId="0" xfId="0" applyFont="1" applyFill="1" applyBorder="1" applyAlignment="1">
      <alignment horizontal="center" vertical="center" wrapText="1"/>
    </xf>
    <xf numFmtId="0" fontId="25" fillId="0" borderId="0" xfId="6" applyFont="1" applyAlignment="1">
      <alignment vertical="center" wrapText="1"/>
    </xf>
    <xf numFmtId="0" fontId="26" fillId="10" borderId="0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center" vertical="center" wrapText="1"/>
    </xf>
    <xf numFmtId="14" fontId="26" fillId="0" borderId="0" xfId="0" applyNumberFormat="1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left" vertical="center" wrapText="1"/>
    </xf>
    <xf numFmtId="1" fontId="26" fillId="0" borderId="0" xfId="0" applyNumberFormat="1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left" vertical="center"/>
    </xf>
    <xf numFmtId="0" fontId="26" fillId="0" borderId="0" xfId="0" applyFont="1" applyFill="1" applyBorder="1" applyAlignment="1">
      <alignment vertical="center" wrapText="1"/>
    </xf>
    <xf numFmtId="0" fontId="26" fillId="0" borderId="0" xfId="0" applyNumberFormat="1" applyFont="1" applyFill="1" applyBorder="1" applyAlignment="1">
      <alignment horizontal="center" vertical="center" wrapText="1"/>
    </xf>
    <xf numFmtId="177" fontId="15" fillId="0" borderId="0" xfId="0" applyNumberFormat="1" applyFont="1" applyFill="1" applyAlignment="1">
      <alignment horizontal="center" vertical="center"/>
    </xf>
    <xf numFmtId="0" fontId="26" fillId="0" borderId="0" xfId="0" applyFont="1" applyFill="1" applyAlignment="1">
      <alignment vertical="center"/>
    </xf>
    <xf numFmtId="0" fontId="26" fillId="0" borderId="0" xfId="0" applyFont="1" applyFill="1" applyBorder="1" applyAlignment="1">
      <alignment horizontal="center" vertical="center"/>
    </xf>
    <xf numFmtId="10" fontId="26" fillId="0" borderId="0" xfId="0" applyNumberFormat="1" applyFont="1" applyFill="1" applyBorder="1" applyAlignment="1">
      <alignment horizontal="center" vertical="center" wrapText="1"/>
    </xf>
    <xf numFmtId="2" fontId="26" fillId="0" borderId="0" xfId="0" applyNumberFormat="1" applyFont="1" applyFill="1" applyBorder="1" applyAlignment="1">
      <alignment horizontal="center" vertical="center" wrapText="1"/>
    </xf>
    <xf numFmtId="178" fontId="26" fillId="0" borderId="0" xfId="0" applyNumberFormat="1" applyFont="1" applyFill="1" applyBorder="1" applyAlignment="1">
      <alignment horizontal="center" vertical="center" wrapText="1"/>
    </xf>
    <xf numFmtId="179" fontId="26" fillId="0" borderId="0" xfId="0" applyNumberFormat="1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vertical="center"/>
    </xf>
    <xf numFmtId="1" fontId="26" fillId="2" borderId="0" xfId="0" applyNumberFormat="1" applyFont="1" applyFill="1" applyBorder="1" applyAlignment="1">
      <alignment horizontal="center" vertical="center" wrapText="1"/>
    </xf>
    <xf numFmtId="0" fontId="25" fillId="0" borderId="0" xfId="6" applyFont="1" applyFill="1" applyAlignment="1">
      <alignment vertical="center" wrapText="1"/>
    </xf>
    <xf numFmtId="10" fontId="26" fillId="0" borderId="0" xfId="0" applyNumberFormat="1" applyFont="1" applyFill="1" applyAlignment="1">
      <alignment horizontal="center" vertical="center" wrapText="1"/>
    </xf>
    <xf numFmtId="0" fontId="26" fillId="0" borderId="0" xfId="0" applyFont="1" applyFill="1" applyAlignment="1">
      <alignment horizontal="left" vertical="center" wrapText="1"/>
    </xf>
    <xf numFmtId="0" fontId="15" fillId="0" borderId="0" xfId="0" applyNumberFormat="1" applyFont="1" applyFill="1" applyAlignment="1">
      <alignment horizontal="left" vertical="center" wrapText="1"/>
    </xf>
    <xf numFmtId="0" fontId="25" fillId="0" borderId="0" xfId="6" applyFont="1" applyFill="1" applyBorder="1" applyAlignment="1">
      <alignment horizontal="center" vertical="center" wrapText="1"/>
    </xf>
    <xf numFmtId="0" fontId="26" fillId="0" borderId="0" xfId="0" applyNumberFormat="1" applyFont="1" applyFill="1" applyBorder="1" applyAlignment="1">
      <alignment horizontal="left" vertical="center" wrapText="1"/>
    </xf>
    <xf numFmtId="4" fontId="26" fillId="0" borderId="0" xfId="0" applyNumberFormat="1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 wrapText="1"/>
    </xf>
    <xf numFmtId="0" fontId="25" fillId="0" borderId="0" xfId="6" applyFont="1" applyFill="1" applyAlignment="1">
      <alignment horizontal="center" vertical="center" wrapText="1"/>
    </xf>
    <xf numFmtId="180" fontId="26" fillId="0" borderId="0" xfId="0" applyNumberFormat="1" applyFont="1" applyFill="1" applyAlignment="1">
      <alignment horizontal="center" vertical="center" wrapText="1"/>
    </xf>
    <xf numFmtId="0" fontId="26" fillId="0" borderId="0" xfId="0" applyFont="1" applyFill="1" applyAlignment="1">
      <alignment vertical="center" wrapText="1"/>
    </xf>
    <xf numFmtId="0" fontId="26" fillId="0" borderId="0" xfId="0" applyFont="1" applyFill="1" applyAlignment="1">
      <alignment horizontal="left" vertical="center"/>
    </xf>
    <xf numFmtId="0" fontId="27" fillId="0" borderId="0" xfId="0" applyFont="1" applyFill="1" applyBorder="1" applyAlignment="1">
      <alignment horizontal="left" vertical="center" wrapText="1"/>
    </xf>
    <xf numFmtId="0" fontId="28" fillId="0" borderId="0" xfId="0" applyFont="1" applyFill="1" applyAlignment="1">
      <alignment vertical="center"/>
    </xf>
    <xf numFmtId="0" fontId="28" fillId="0" borderId="0" xfId="0" applyFont="1" applyFill="1" applyAlignment="1">
      <alignment horizontal="left" vertical="center"/>
    </xf>
    <xf numFmtId="0" fontId="28" fillId="0" borderId="0" xfId="0" applyFont="1" applyFill="1" applyAlignment="1">
      <alignment horizontal="left" vertical="center" wrapText="1"/>
    </xf>
    <xf numFmtId="0" fontId="28" fillId="0" borderId="0" xfId="0" applyFont="1" applyFill="1" applyAlignment="1">
      <alignment horizontal="center" vertical="center"/>
    </xf>
    <xf numFmtId="0" fontId="28" fillId="0" borderId="0" xfId="0" applyNumberFormat="1" applyFont="1" applyFill="1" applyAlignment="1">
      <alignment vertical="center"/>
    </xf>
    <xf numFmtId="10" fontId="28" fillId="0" borderId="0" xfId="0" applyNumberFormat="1" applyFont="1" applyFill="1" applyAlignment="1">
      <alignment vertical="center"/>
    </xf>
    <xf numFmtId="181" fontId="28" fillId="0" borderId="0" xfId="0" applyNumberFormat="1" applyFont="1" applyFill="1" applyAlignment="1">
      <alignment horizontal="center" vertical="center"/>
    </xf>
    <xf numFmtId="0" fontId="27" fillId="9" borderId="0" xfId="0" applyFont="1" applyFill="1" applyBorder="1" applyAlignment="1">
      <alignment horizontal="center" vertical="center" wrapText="1"/>
    </xf>
    <xf numFmtId="0" fontId="27" fillId="9" borderId="0" xfId="0" applyNumberFormat="1" applyFont="1" applyFill="1" applyBorder="1" applyAlignment="1">
      <alignment horizontal="center" vertical="center" wrapText="1"/>
    </xf>
    <xf numFmtId="0" fontId="27" fillId="10" borderId="0" xfId="0" applyNumberFormat="1" applyFont="1" applyFill="1" applyBorder="1" applyAlignment="1">
      <alignment horizontal="center" vertical="center" wrapText="1"/>
    </xf>
    <xf numFmtId="0" fontId="27" fillId="10" borderId="0" xfId="0" applyFont="1" applyFill="1" applyBorder="1" applyAlignment="1">
      <alignment horizontal="center" vertical="center" wrapText="1"/>
    </xf>
    <xf numFmtId="0" fontId="27" fillId="10" borderId="0" xfId="0" applyNumberFormat="1" applyFont="1" applyFill="1" applyBorder="1" applyAlignment="1">
      <alignment horizontal="left" vertical="center" wrapText="1"/>
    </xf>
    <xf numFmtId="0" fontId="28" fillId="10" borderId="0" xfId="0" applyFont="1" applyFill="1" applyAlignment="1">
      <alignment horizontal="center" vertical="center" wrapText="1"/>
    </xf>
    <xf numFmtId="58" fontId="27" fillId="9" borderId="0" xfId="0" applyNumberFormat="1" applyFont="1" applyFill="1" applyBorder="1" applyAlignment="1">
      <alignment horizontal="center" vertical="center" wrapText="1"/>
    </xf>
    <xf numFmtId="0" fontId="27" fillId="9" borderId="0" xfId="0" applyFont="1" applyFill="1" applyBorder="1" applyAlignment="1">
      <alignment horizontal="left" vertical="center" wrapText="1"/>
    </xf>
    <xf numFmtId="0" fontId="27" fillId="9" borderId="0" xfId="0" applyNumberFormat="1" applyFont="1" applyFill="1" applyBorder="1" applyAlignment="1">
      <alignment horizontal="left" vertical="center" wrapText="1"/>
    </xf>
    <xf numFmtId="0" fontId="27" fillId="11" borderId="0" xfId="0" applyFont="1" applyFill="1" applyBorder="1" applyAlignment="1">
      <alignment horizontal="center" vertical="center" wrapText="1"/>
    </xf>
    <xf numFmtId="0" fontId="27" fillId="11" borderId="0" xfId="0" applyFont="1" applyFill="1" applyBorder="1" applyAlignment="1">
      <alignment horizontal="left" vertical="center" wrapText="1"/>
    </xf>
    <xf numFmtId="177" fontId="27" fillId="11" borderId="0" xfId="0" applyNumberFormat="1" applyFont="1" applyFill="1" applyBorder="1" applyAlignment="1">
      <alignment horizontal="left" vertical="center" wrapText="1"/>
    </xf>
    <xf numFmtId="0" fontId="27" fillId="11" borderId="0" xfId="0" applyNumberFormat="1" applyFont="1" applyFill="1" applyBorder="1" applyAlignment="1">
      <alignment horizontal="center" vertical="center" wrapText="1"/>
    </xf>
    <xf numFmtId="14" fontId="27" fillId="11" borderId="0" xfId="0" applyNumberFormat="1" applyFont="1" applyFill="1" applyBorder="1" applyAlignment="1">
      <alignment horizontal="center" vertical="center" wrapText="1"/>
    </xf>
    <xf numFmtId="177" fontId="27" fillId="11" borderId="0" xfId="0" applyNumberFormat="1" applyFont="1" applyFill="1" applyBorder="1" applyAlignment="1">
      <alignment horizontal="center" vertical="center" wrapText="1"/>
    </xf>
    <xf numFmtId="10" fontId="27" fillId="11" borderId="0" xfId="0" applyNumberFormat="1" applyFont="1" applyFill="1" applyBorder="1" applyAlignment="1">
      <alignment horizontal="center" vertical="center" wrapText="1"/>
    </xf>
    <xf numFmtId="0" fontId="27" fillId="12" borderId="0" xfId="0" applyNumberFormat="1" applyFont="1" applyFill="1" applyBorder="1" applyAlignment="1">
      <alignment horizontal="center" vertical="center" wrapText="1"/>
    </xf>
    <xf numFmtId="0" fontId="27" fillId="12" borderId="0" xfId="0" applyFont="1" applyFill="1" applyBorder="1" applyAlignment="1">
      <alignment horizontal="left" vertical="center" wrapText="1"/>
    </xf>
    <xf numFmtId="0" fontId="27" fillId="13" borderId="0" xfId="0" applyNumberFormat="1" applyFont="1" applyFill="1" applyBorder="1" applyAlignment="1">
      <alignment horizontal="center" vertical="center" wrapText="1"/>
    </xf>
    <xf numFmtId="10" fontId="27" fillId="13" borderId="0" xfId="0" applyNumberFormat="1" applyFont="1" applyFill="1" applyBorder="1" applyAlignment="1">
      <alignment horizontal="center" vertical="center" wrapText="1"/>
    </xf>
    <xf numFmtId="0" fontId="27" fillId="14" borderId="0" xfId="0" applyNumberFormat="1" applyFont="1" applyFill="1" applyBorder="1" applyAlignment="1">
      <alignment horizontal="center" vertical="center" wrapText="1"/>
    </xf>
    <xf numFmtId="0" fontId="27" fillId="15" borderId="0" xfId="0" applyNumberFormat="1" applyFont="1" applyFill="1" applyBorder="1" applyAlignment="1">
      <alignment horizontal="center" vertical="center" wrapText="1"/>
    </xf>
    <xf numFmtId="0" fontId="27" fillId="0" borderId="0" xfId="0" applyNumberFormat="1" applyFont="1" applyFill="1" applyBorder="1" applyAlignment="1">
      <alignment horizontal="left" vertical="center" wrapText="1"/>
    </xf>
    <xf numFmtId="0" fontId="27" fillId="0" borderId="0" xfId="0" applyFont="1" applyFill="1" applyBorder="1" applyAlignment="1">
      <alignment horizontal="center" vertical="center" wrapText="1"/>
    </xf>
    <xf numFmtId="177" fontId="27" fillId="10" borderId="0" xfId="0" applyNumberFormat="1" applyFont="1" applyFill="1" applyBorder="1" applyAlignment="1">
      <alignment horizontal="center" vertical="center" wrapText="1"/>
    </xf>
    <xf numFmtId="58" fontId="27" fillId="16" borderId="0" xfId="0" applyNumberFormat="1" applyFont="1" applyFill="1" applyBorder="1" applyAlignment="1">
      <alignment horizontal="center" vertical="center" wrapText="1"/>
    </xf>
    <xf numFmtId="58" fontId="27" fillId="2" borderId="0" xfId="0" applyNumberFormat="1" applyFont="1" applyFill="1" applyBorder="1" applyAlignment="1">
      <alignment horizontal="center" vertical="center" wrapText="1"/>
    </xf>
    <xf numFmtId="58" fontId="27" fillId="11" borderId="0" xfId="0" applyNumberFormat="1" applyFont="1" applyFill="1" applyBorder="1" applyAlignment="1">
      <alignment horizontal="center" vertical="center" wrapText="1"/>
    </xf>
    <xf numFmtId="58" fontId="27" fillId="13" borderId="0" xfId="0" applyNumberFormat="1" applyFont="1" applyFill="1" applyBorder="1" applyAlignment="1">
      <alignment horizontal="center" vertical="center" wrapText="1"/>
    </xf>
    <xf numFmtId="0" fontId="27" fillId="17" borderId="0" xfId="0" applyNumberFormat="1" applyFont="1" applyFill="1" applyBorder="1" applyAlignment="1">
      <alignment horizontal="center" vertical="center" wrapText="1"/>
    </xf>
    <xf numFmtId="0" fontId="29" fillId="18" borderId="7" xfId="0" applyNumberFormat="1" applyFont="1" applyFill="1" applyBorder="1" applyAlignment="1">
      <alignment horizontal="center" vertical="center" wrapText="1"/>
    </xf>
    <xf numFmtId="49" fontId="30" fillId="18" borderId="0" xfId="0" applyNumberFormat="1" applyFont="1" applyFill="1" applyBorder="1" applyAlignment="1">
      <alignment horizontal="center" vertical="center" wrapText="1"/>
    </xf>
    <xf numFmtId="49" fontId="29" fillId="18" borderId="9" xfId="0" applyNumberFormat="1" applyFont="1" applyFill="1" applyBorder="1" applyAlignment="1">
      <alignment horizontal="center" vertical="center" wrapText="1"/>
    </xf>
    <xf numFmtId="49" fontId="27" fillId="17" borderId="0" xfId="0" applyNumberFormat="1" applyFont="1" applyFill="1" applyBorder="1" applyAlignment="1">
      <alignment horizontal="center" vertical="center" wrapText="1"/>
    </xf>
    <xf numFmtId="177" fontId="27" fillId="17" borderId="0" xfId="0" applyNumberFormat="1" applyFont="1" applyFill="1" applyBorder="1" applyAlignment="1">
      <alignment horizontal="center" vertical="center" wrapText="1"/>
    </xf>
    <xf numFmtId="49" fontId="27" fillId="9" borderId="0" xfId="0" applyNumberFormat="1" applyFont="1" applyFill="1" applyBorder="1" applyAlignment="1">
      <alignment horizontal="center" vertical="center" wrapText="1"/>
    </xf>
    <xf numFmtId="0" fontId="27" fillId="19" borderId="0" xfId="0" applyNumberFormat="1" applyFont="1" applyFill="1" applyBorder="1" applyAlignment="1">
      <alignment horizontal="center" vertical="center" wrapText="1"/>
    </xf>
    <xf numFmtId="58" fontId="31" fillId="12" borderId="0" xfId="0" applyNumberFormat="1" applyFont="1" applyFill="1" applyBorder="1" applyAlignment="1">
      <alignment horizontal="center" vertical="center" wrapText="1"/>
    </xf>
    <xf numFmtId="58" fontId="31" fillId="10" borderId="0" xfId="0" applyNumberFormat="1" applyFont="1" applyFill="1" applyBorder="1" applyAlignment="1">
      <alignment horizontal="center" vertical="center" wrapText="1"/>
    </xf>
    <xf numFmtId="0" fontId="32" fillId="9" borderId="0" xfId="0" applyNumberFormat="1" applyFont="1" applyFill="1" applyBorder="1" applyAlignment="1">
      <alignment horizontal="center" vertical="center" wrapText="1"/>
    </xf>
    <xf numFmtId="0" fontId="32" fillId="17" borderId="0" xfId="0" applyNumberFormat="1" applyFont="1" applyFill="1" applyBorder="1" applyAlignment="1">
      <alignment horizontal="center" vertical="center" wrapText="1"/>
    </xf>
    <xf numFmtId="10" fontId="27" fillId="9" borderId="0" xfId="0" applyNumberFormat="1" applyFont="1" applyFill="1" applyBorder="1" applyAlignment="1">
      <alignment horizontal="center" vertical="center" wrapText="1"/>
    </xf>
    <xf numFmtId="0" fontId="33" fillId="20" borderId="0" xfId="0" applyFont="1" applyFill="1" applyBorder="1" applyAlignment="1">
      <alignment horizontal="center" vertical="center" wrapText="1"/>
    </xf>
    <xf numFmtId="0" fontId="34" fillId="9" borderId="0" xfId="0" applyFont="1" applyFill="1" applyBorder="1" applyAlignment="1">
      <alignment horizontal="center" vertical="center" wrapText="1"/>
    </xf>
    <xf numFmtId="0" fontId="34" fillId="0" borderId="0" xfId="0" applyFont="1" applyFill="1" applyBorder="1" applyAlignment="1">
      <alignment horizontal="center" vertical="center" wrapText="1"/>
    </xf>
    <xf numFmtId="0" fontId="35" fillId="0" borderId="0" xfId="6" applyFont="1" applyAlignment="1">
      <alignment vertical="center" wrapText="1"/>
    </xf>
    <xf numFmtId="14" fontId="27" fillId="0" borderId="0" xfId="0" applyNumberFormat="1" applyFont="1" applyFill="1" applyBorder="1" applyAlignment="1">
      <alignment horizontal="center" vertical="center" wrapText="1"/>
    </xf>
    <xf numFmtId="1" fontId="27" fillId="0" borderId="0" xfId="0" applyNumberFormat="1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left" vertical="center"/>
    </xf>
    <xf numFmtId="0" fontId="27" fillId="0" borderId="0" xfId="0" applyFont="1" applyFill="1" applyBorder="1" applyAlignment="1">
      <alignment vertical="center" wrapText="1"/>
    </xf>
    <xf numFmtId="0" fontId="27" fillId="0" borderId="0" xfId="0" applyNumberFormat="1" applyFont="1" applyFill="1" applyBorder="1" applyAlignment="1">
      <alignment horizontal="center" vertical="center" wrapText="1"/>
    </xf>
    <xf numFmtId="177" fontId="28" fillId="0" borderId="0" xfId="0" applyNumberFormat="1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27" fillId="0" borderId="0" xfId="0" applyFont="1" applyFill="1" applyAlignment="1">
      <alignment vertical="center"/>
    </xf>
    <xf numFmtId="2" fontId="27" fillId="0" borderId="0" xfId="0" applyNumberFormat="1" applyFont="1" applyFill="1" applyBorder="1" applyAlignment="1">
      <alignment horizontal="center" vertical="center" wrapText="1"/>
    </xf>
    <xf numFmtId="10" fontId="27" fillId="0" borderId="0" xfId="0" applyNumberFormat="1" applyFont="1" applyFill="1" applyBorder="1" applyAlignment="1">
      <alignment horizontal="center" vertical="center" wrapText="1"/>
    </xf>
    <xf numFmtId="178" fontId="27" fillId="0" borderId="0" xfId="0" applyNumberFormat="1" applyFont="1" applyFill="1" applyBorder="1" applyAlignment="1">
      <alignment horizontal="center" vertical="center" wrapText="1"/>
    </xf>
    <xf numFmtId="179" fontId="27" fillId="0" borderId="0" xfId="0" applyNumberFormat="1" applyFont="1" applyFill="1" applyBorder="1" applyAlignment="1">
      <alignment horizontal="center" vertical="center" wrapText="1"/>
    </xf>
    <xf numFmtId="2" fontId="28" fillId="0" borderId="0" xfId="0" applyNumberFormat="1" applyFont="1" applyFill="1" applyBorder="1" applyAlignment="1">
      <alignment vertical="center"/>
    </xf>
    <xf numFmtId="0" fontId="35" fillId="0" borderId="0" xfId="6" applyFont="1" applyFill="1" applyAlignment="1">
      <alignment vertical="center" wrapText="1"/>
    </xf>
    <xf numFmtId="0" fontId="36" fillId="0" borderId="0" xfId="0" applyFont="1" applyFill="1" applyAlignment="1">
      <alignment horizontal="center" vertical="center" wrapText="1"/>
    </xf>
    <xf numFmtId="0" fontId="27" fillId="0" borderId="0" xfId="0" applyFont="1" applyFill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37" fillId="0" borderId="0" xfId="0" applyFont="1" applyFill="1" applyAlignment="1">
      <alignment horizontal="center" vertical="center" wrapText="1"/>
    </xf>
    <xf numFmtId="0" fontId="35" fillId="0" borderId="0" xfId="6" applyFont="1" applyFill="1" applyBorder="1" applyAlignment="1">
      <alignment horizontal="center" vertical="center" wrapText="1"/>
    </xf>
    <xf numFmtId="0" fontId="36" fillId="0" borderId="0" xfId="0" applyFont="1" applyFill="1" applyAlignment="1">
      <alignment vertical="center" wrapText="1"/>
    </xf>
    <xf numFmtId="4" fontId="27" fillId="0" borderId="0" xfId="0" applyNumberFormat="1" applyFont="1" applyFill="1" applyBorder="1" applyAlignment="1">
      <alignment horizontal="center" vertical="center" wrapText="1"/>
    </xf>
    <xf numFmtId="0" fontId="27" fillId="0" borderId="0" xfId="0" applyFont="1" applyFill="1" applyAlignment="1">
      <alignment horizontal="left" vertical="center" wrapText="1"/>
    </xf>
    <xf numFmtId="0" fontId="38" fillId="0" borderId="0" xfId="0" applyFont="1" applyFill="1" applyAlignment="1">
      <alignment vertical="center" wrapText="1"/>
    </xf>
    <xf numFmtId="0" fontId="27" fillId="0" borderId="0" xfId="0" applyFont="1" applyFill="1" applyAlignment="1">
      <alignment horizontal="center" vertical="center" wrapText="1"/>
    </xf>
    <xf numFmtId="0" fontId="35" fillId="0" borderId="0" xfId="6" applyFont="1" applyFill="1" applyAlignment="1">
      <alignment horizontal="center" vertical="center" wrapText="1"/>
    </xf>
    <xf numFmtId="0" fontId="39" fillId="21" borderId="0" xfId="0" applyFont="1" applyFill="1" applyAlignment="1">
      <alignment horizontal="left" vertical="center" wrapText="1"/>
    </xf>
    <xf numFmtId="0" fontId="35" fillId="0" borderId="0" xfId="6" applyFont="1" applyAlignment="1">
      <alignment horizontal="center" vertical="center" wrapText="1"/>
    </xf>
    <xf numFmtId="0" fontId="27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4.xml"/><Relationship Id="rId8" Type="http://schemas.openxmlformats.org/officeDocument/2006/relationships/externalLink" Target="externalLinks/externalLink3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customXml" Target="../customXml/item4.xml"/><Relationship Id="rId15" Type="http://schemas.openxmlformats.org/officeDocument/2006/relationships/customXml" Target="../customXml/item3.xml"/><Relationship Id="rId14" Type="http://schemas.openxmlformats.org/officeDocument/2006/relationships/customXml" Target="../customXml/item2.xml"/><Relationship Id="rId13" Type="http://schemas.openxmlformats.org/officeDocument/2006/relationships/customXml" Target="../customXml/item1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weboffice/tmp/webet_4235071550/&#24211;&#38144;&#34920;_XQ5.kshee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weboffice/tmp/webet_4235071550/&#30446;&#24405;&#25968;&#25454;&#24211;.ksheet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weboffice/tmp/webet_4235071550/&#24320;&#21457;&#34920;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0446;&#24405;&#25968;&#25454;&#24211;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库销表"/>
      <sheetName val="数据更新（补货计划）"/>
      <sheetName val="工作表2"/>
      <sheetName val="采购单_未发货清单"/>
      <sheetName val="工作表1"/>
    </sheetNames>
    <sheetDataSet>
      <sheetData sheetId="0">
        <row r="1">
          <cell r="F1" t="str">
            <v>,</v>
          </cell>
        </row>
        <row r="2">
          <cell r="F2" t="str">
            <v>SKU</v>
          </cell>
        </row>
        <row r="2">
          <cell r="L2" t="str">
            <v>私仓</v>
          </cell>
        </row>
        <row r="4">
          <cell r="F4" t="str">
            <v>XQ5-ECXTC-WL</v>
          </cell>
        </row>
        <row r="5">
          <cell r="F5" t="str">
            <v>XQ5-ECXTC-NL</v>
          </cell>
        </row>
        <row r="6">
          <cell r="F6" t="str">
            <v>XQ5-MZC</v>
          </cell>
        </row>
        <row r="6">
          <cell r="L6">
            <v>60</v>
          </cell>
        </row>
        <row r="7">
          <cell r="F7" t="str">
            <v>XQ5-SJTPJ-45*35</v>
          </cell>
        </row>
        <row r="7">
          <cell r="L7">
            <v>60</v>
          </cell>
        </row>
        <row r="8">
          <cell r="F8" t="str">
            <v>XQ5-SWZXQ</v>
          </cell>
        </row>
        <row r="9">
          <cell r="F9" t="str">
            <v>XQ5-DWZXQ</v>
          </cell>
        </row>
        <row r="10">
          <cell r="F10" t="str">
            <v>XQ5-SWDLDBZXQ</v>
          </cell>
        </row>
        <row r="11">
          <cell r="F11" t="str">
            <v>XQ5-YL005</v>
          </cell>
        </row>
        <row r="12">
          <cell r="F12" t="str">
            <v>ZD-XQ5-SYJ</v>
          </cell>
        </row>
        <row r="14">
          <cell r="F14" t="str">
            <v>XQ5-QP001-1137328464</v>
          </cell>
        </row>
        <row r="14">
          <cell r="L14">
            <v>0</v>
          </cell>
        </row>
        <row r="15">
          <cell r="F15" t="str">
            <v>XQ5-QP002-4M519A810AA</v>
          </cell>
        </row>
        <row r="15">
          <cell r="L15">
            <v>0</v>
          </cell>
        </row>
        <row r="16">
          <cell r="F16" t="str">
            <v>XQ5-QP003-1137328365</v>
          </cell>
        </row>
        <row r="16">
          <cell r="L16">
            <v>0</v>
          </cell>
        </row>
        <row r="17">
          <cell r="F17" t="str">
            <v>XQ5-QP004-940009402</v>
          </cell>
        </row>
        <row r="17">
          <cell r="L17">
            <v>0</v>
          </cell>
        </row>
        <row r="18">
          <cell r="F18" t="str">
            <v>XQ5-QP005-1137328617</v>
          </cell>
        </row>
        <row r="18">
          <cell r="L18">
            <v>0</v>
          </cell>
        </row>
        <row r="20">
          <cell r="F20" t="str">
            <v>XQ5-QP006-25554-3DN0A</v>
          </cell>
        </row>
        <row r="20">
          <cell r="L20">
            <v>0</v>
          </cell>
        </row>
        <row r="21">
          <cell r="F21" t="str">
            <v>XQ5-QP007-5156106AF</v>
          </cell>
        </row>
        <row r="21">
          <cell r="L21">
            <v>0</v>
          </cell>
        </row>
        <row r="22">
          <cell r="F22" t="str">
            <v>XQ5-QP008-25567-ET225</v>
          </cell>
        </row>
        <row r="22">
          <cell r="L22">
            <v>0</v>
          </cell>
        </row>
        <row r="23">
          <cell r="F23" t="str">
            <v>XQ5-QP009-84306-48030</v>
          </cell>
        </row>
        <row r="23">
          <cell r="L23">
            <v>0</v>
          </cell>
        </row>
        <row r="24">
          <cell r="F24" t="str">
            <v>XQ5-QP010-05156106AG-S</v>
          </cell>
        </row>
        <row r="24">
          <cell r="L24">
            <v>0</v>
          </cell>
        </row>
        <row r="25">
          <cell r="F25" t="str">
            <v>XQ5-QP011-94529531</v>
          </cell>
        </row>
        <row r="25">
          <cell r="L25">
            <v>0</v>
          </cell>
        </row>
        <row r="26">
          <cell r="F26" t="str">
            <v>XQ5-QP012-93490-3Q120</v>
          </cell>
        </row>
        <row r="26">
          <cell r="L26">
            <v>0</v>
          </cell>
        </row>
        <row r="27">
          <cell r="F27" t="str">
            <v>XQ5-QP013-B5567-JM50AN</v>
          </cell>
        </row>
        <row r="27">
          <cell r="L27">
            <v>0</v>
          </cell>
        </row>
        <row r="28">
          <cell r="F28" t="str">
            <v>XQ5-QP014-84306-06140</v>
          </cell>
        </row>
        <row r="28">
          <cell r="L28">
            <v>0</v>
          </cell>
        </row>
        <row r="29">
          <cell r="F29" t="str">
            <v>XQ5-QP015-26685762</v>
          </cell>
        </row>
        <row r="29">
          <cell r="L29">
            <v>0</v>
          </cell>
        </row>
        <row r="30">
          <cell r="F30" t="str">
            <v>XQ5-QP020-25554-3TS0A</v>
          </cell>
        </row>
        <row r="31">
          <cell r="F31" t="str">
            <v>XQ5-QP021-84306-22010</v>
          </cell>
        </row>
        <row r="32">
          <cell r="F32" t="str">
            <v>XQ5-QP022-BP4K-66-CS0</v>
          </cell>
        </row>
        <row r="34">
          <cell r="F34" t="str">
            <v>XQ5-QP016-55503109</v>
          </cell>
        </row>
        <row r="34">
          <cell r="L34">
            <v>0</v>
          </cell>
        </row>
        <row r="35">
          <cell r="F35" t="str">
            <v>XQ5-QP017-12704586</v>
          </cell>
        </row>
        <row r="35">
          <cell r="L35">
            <v>0</v>
          </cell>
        </row>
        <row r="36">
          <cell r="F36" t="str">
            <v>XQ5-QP018-12686657</v>
          </cell>
        </row>
        <row r="36">
          <cell r="L36">
            <v>0</v>
          </cell>
        </row>
        <row r="37">
          <cell r="F37" t="str">
            <v>XQ5-QP019-07K-145100C</v>
          </cell>
        </row>
        <row r="37">
          <cell r="L37">
            <v>0</v>
          </cell>
        </row>
        <row r="39">
          <cell r="F39" t="str">
            <v>XQ5-QP023-A1137</v>
          </cell>
        </row>
        <row r="40">
          <cell r="F40" t="str">
            <v>XQ5-QP024-101210-1650</v>
          </cell>
        </row>
        <row r="42">
          <cell r="F42" t="str">
            <v>XQ5-QP025-020911023</v>
          </cell>
        </row>
        <row r="43">
          <cell r="F43" t="str">
            <v>XQ5-QP026-96469963</v>
          </cell>
        </row>
        <row r="44">
          <cell r="F44" t="str">
            <v>XQ5-QP027-0001107402</v>
          </cell>
        </row>
        <row r="45">
          <cell r="F45" t="str">
            <v>XQ5-QP028-S114-901A</v>
          </cell>
        </row>
        <row r="46">
          <cell r="F46" t="str">
            <v>XQ5-QP029-S114-769</v>
          </cell>
        </row>
        <row r="47">
          <cell r="F47" t="str">
            <v>XQ5-QP030-8000727</v>
          </cell>
        </row>
        <row r="49">
          <cell r="F49" t="str">
            <v>XQ5-QP031-597080</v>
          </cell>
        </row>
        <row r="49">
          <cell r="L49">
            <v>0</v>
          </cell>
        </row>
        <row r="50">
          <cell r="F50" t="str">
            <v>XQ5-QP032-224338H315</v>
          </cell>
        </row>
        <row r="50">
          <cell r="L50">
            <v>0</v>
          </cell>
        </row>
        <row r="51">
          <cell r="F51" t="str">
            <v>XQ5-QP033-1L2U12029AA</v>
          </cell>
        </row>
        <row r="51">
          <cell r="L51">
            <v>0</v>
          </cell>
        </row>
        <row r="53">
          <cell r="F53" t="str">
            <v>XQ5-QP034-12655421</v>
          </cell>
        </row>
        <row r="53">
          <cell r="L53">
            <v>0</v>
          </cell>
        </row>
        <row r="54">
          <cell r="F54" t="str">
            <v>XQ5-QP035-23796-ET00A</v>
          </cell>
        </row>
        <row r="54">
          <cell r="L54">
            <v>0</v>
          </cell>
        </row>
        <row r="55">
          <cell r="F55" t="str">
            <v>XQ5-QP036-15810-RAA-A01</v>
          </cell>
        </row>
        <row r="55">
          <cell r="L55">
            <v>0</v>
          </cell>
        </row>
        <row r="57">
          <cell r="F57" t="str">
            <v>XQ5-QP037-904501HL0A</v>
          </cell>
        </row>
        <row r="57">
          <cell r="L57">
            <v>30</v>
          </cell>
        </row>
        <row r="58">
          <cell r="F58" t="str">
            <v>XQ5-QP038-377827550C</v>
          </cell>
        </row>
        <row r="58">
          <cell r="L58">
            <v>30</v>
          </cell>
        </row>
        <row r="59">
          <cell r="F59" t="str">
            <v>XQ5-QP039-3B5-827-550A</v>
          </cell>
        </row>
        <row r="59">
          <cell r="L59">
            <v>30</v>
          </cell>
        </row>
        <row r="60">
          <cell r="F60" t="str">
            <v>XQ5-QP040-6L6-827-550B</v>
          </cell>
        </row>
        <row r="60">
          <cell r="L60">
            <v>30</v>
          </cell>
        </row>
        <row r="62">
          <cell r="F62" t="str">
            <v>XQ5-YL015</v>
          </cell>
        </row>
        <row r="63">
          <cell r="F63" t="str">
            <v>XQ5-YL016</v>
          </cell>
        </row>
        <row r="64">
          <cell r="F64" t="str">
            <v>XQ5-YL017</v>
          </cell>
        </row>
        <row r="65">
          <cell r="F65" t="str">
            <v>XQ5-YL018</v>
          </cell>
        </row>
        <row r="66">
          <cell r="F66" t="str">
            <v>XQ5-YL019</v>
          </cell>
        </row>
        <row r="67">
          <cell r="F67" t="str">
            <v>XQ5-YL020</v>
          </cell>
        </row>
        <row r="68">
          <cell r="F68" t="str">
            <v>XQ5-YL003</v>
          </cell>
        </row>
        <row r="69">
          <cell r="F69" t="str">
            <v>XQ5-YL004</v>
          </cell>
        </row>
        <row r="70">
          <cell r="F70" t="str">
            <v>XQ5-YL007</v>
          </cell>
        </row>
        <row r="71">
          <cell r="F71" t="str">
            <v>XQ5-YL008</v>
          </cell>
        </row>
        <row r="72">
          <cell r="F72" t="str">
            <v>XQ5-YL012</v>
          </cell>
        </row>
        <row r="73">
          <cell r="F73" t="str">
            <v>XQ5-YL013</v>
          </cell>
        </row>
        <row r="74">
          <cell r="F74" t="str">
            <v>XQ5-YL009</v>
          </cell>
        </row>
        <row r="75">
          <cell r="F75" t="str">
            <v>XQ5-YL010</v>
          </cell>
        </row>
        <row r="76">
          <cell r="F76" t="str">
            <v>XQ5-YL011</v>
          </cell>
        </row>
        <row r="77">
          <cell r="F77" t="str">
            <v>XQ5-YL001</v>
          </cell>
        </row>
        <row r="78">
          <cell r="F78" t="str">
            <v>XQ5-YL002</v>
          </cell>
        </row>
        <row r="79">
          <cell r="F79" t="str">
            <v>XQ5-YL005</v>
          </cell>
        </row>
        <row r="80">
          <cell r="F80" t="str">
            <v>XQ5-YL022</v>
          </cell>
        </row>
        <row r="81">
          <cell r="F81" t="str">
            <v>XQ5-YL023</v>
          </cell>
        </row>
        <row r="82">
          <cell r="F82" t="str">
            <v>XQ5-YL024</v>
          </cell>
        </row>
        <row r="83">
          <cell r="F83" t="str">
            <v>XQ5-YL025</v>
          </cell>
        </row>
        <row r="84">
          <cell r="F84" t="str">
            <v>XQ5-YL026</v>
          </cell>
        </row>
        <row r="85">
          <cell r="F85" t="str">
            <v>XQ5-YL027</v>
          </cell>
        </row>
        <row r="86">
          <cell r="F86" t="str">
            <v>XQ5-YL028</v>
          </cell>
        </row>
        <row r="87">
          <cell r="F87" t="str">
            <v>XQ5-YL029</v>
          </cell>
        </row>
        <row r="88">
          <cell r="F88" t="str">
            <v>XQ5-QP041</v>
          </cell>
        </row>
        <row r="89">
          <cell r="F89" t="str">
            <v>XQ5-QP042</v>
          </cell>
        </row>
        <row r="90">
          <cell r="F90" t="str">
            <v>XQ5-QP043</v>
          </cell>
        </row>
        <row r="91">
          <cell r="F91" t="str">
            <v>XQ5-QP044</v>
          </cell>
        </row>
        <row r="92">
          <cell r="F92" t="str">
            <v>XQ5-QP045</v>
          </cell>
        </row>
        <row r="93">
          <cell r="F93" t="str">
            <v>XQ5-QP046</v>
          </cell>
        </row>
        <row r="94">
          <cell r="F94" t="str">
            <v>XQ5-QP047</v>
          </cell>
        </row>
        <row r="95">
          <cell r="F95" t="str">
            <v>XQ5-QP048</v>
          </cell>
        </row>
        <row r="96">
          <cell r="F96" t="str">
            <v>XQ5-QP049</v>
          </cell>
        </row>
        <row r="97">
          <cell r="F97" t="str">
            <v>XQ5-QP050</v>
          </cell>
        </row>
        <row r="98">
          <cell r="F98" t="str">
            <v>XQ5-QP051</v>
          </cell>
        </row>
        <row r="99">
          <cell r="F99" t="str">
            <v>XQ5-QP052</v>
          </cell>
        </row>
        <row r="100">
          <cell r="F100" t="str">
            <v>XQ5-QP053</v>
          </cell>
        </row>
        <row r="101">
          <cell r="F101" t="str">
            <v>XQ5-QP054</v>
          </cell>
        </row>
        <row r="102">
          <cell r="F102" t="str">
            <v>XQ5-QP055</v>
          </cell>
        </row>
        <row r="103">
          <cell r="F103" t="str">
            <v>XQ5-QP056</v>
          </cell>
        </row>
        <row r="104">
          <cell r="F104" t="str">
            <v>XQ5-QP057</v>
          </cell>
        </row>
        <row r="105">
          <cell r="F105" t="str">
            <v>XQ5-QP058</v>
          </cell>
        </row>
        <row r="106">
          <cell r="F106" t="str">
            <v>XQ5-QP059</v>
          </cell>
        </row>
        <row r="107">
          <cell r="F107" t="str">
            <v>XQ5-YL030</v>
          </cell>
        </row>
        <row r="108">
          <cell r="F108" t="str">
            <v>XQ5-YL031</v>
          </cell>
        </row>
        <row r="109">
          <cell r="F109" t="str">
            <v>XQ5-YL032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目录表"/>
      <sheetName val="下单总表 _2026"/>
      <sheetName val="soso模板"/>
      <sheetName val="大墨仓模板"/>
      <sheetName val="必应模板"/>
      <sheetName val="数智联模板"/>
      <sheetName val="下单总表"/>
      <sheetName val="未发货清单汇总"/>
      <sheetName val="货代接货联系方式"/>
      <sheetName val="WpsReserved_CellImgList"/>
    </sheetNames>
    <sheetDataSet>
      <sheetData sheetId="0">
        <row r="1">
          <cell r="H1" t="str">
            <v>sku</v>
          </cell>
        </row>
        <row r="1">
          <cell r="AB1" t="str">
            <v>包装CBM</v>
          </cell>
        </row>
        <row r="1">
          <cell r="AJ1" t="str">
            <v>散货1/装柜2</v>
          </cell>
        </row>
        <row r="2">
          <cell r="H2" t="str">
            <v>CT7-ZYBZKG-WS150 WS175</v>
          </cell>
        </row>
        <row r="2">
          <cell r="AB2">
            <v>0.00194256</v>
          </cell>
        </row>
        <row r="2">
          <cell r="AJ2" t="str">
            <v>散货</v>
          </cell>
        </row>
        <row r="3">
          <cell r="H3" t="str">
            <v>CT7-HYQ-FT150 DT150</v>
          </cell>
        </row>
        <row r="3">
          <cell r="AB3">
            <v>0.001486464</v>
          </cell>
        </row>
        <row r="3">
          <cell r="AJ3" t="str">
            <v>散货</v>
          </cell>
        </row>
        <row r="4">
          <cell r="H4" t="str">
            <v>CT7-HYQ-AT110 XT110</v>
          </cell>
        </row>
        <row r="4">
          <cell r="AB4">
            <v>0.00128772</v>
          </cell>
        </row>
        <row r="4">
          <cell r="AJ4" t="str">
            <v>散货</v>
          </cell>
        </row>
        <row r="5">
          <cell r="H5" t="str">
            <v>CT7-MP012-Pwk 30mm 150-200cc</v>
          </cell>
        </row>
        <row r="5">
          <cell r="AB5">
            <v>0.001546125</v>
          </cell>
        </row>
        <row r="5">
          <cell r="AJ5" t="str">
            <v>散货</v>
          </cell>
        </row>
        <row r="6">
          <cell r="H6" t="str">
            <v>CT7-MP013-250z Rt250</v>
          </cell>
        </row>
        <row r="6">
          <cell r="AB6">
            <v>0.002016</v>
          </cell>
        </row>
        <row r="6">
          <cell r="AJ6" t="str">
            <v>散货</v>
          </cell>
        </row>
        <row r="7">
          <cell r="H7" t="str">
            <v>CT7-MP009-Polaris Sportsman 500</v>
          </cell>
        </row>
        <row r="7">
          <cell r="AB7">
            <v>0.002288</v>
          </cell>
        </row>
        <row r="7">
          <cell r="AJ7" t="str">
            <v>散货</v>
          </cell>
        </row>
        <row r="8">
          <cell r="H8" t="str">
            <v>CT7-MP010-450 Trx450 350</v>
          </cell>
        </row>
        <row r="8">
          <cell r="AB8">
            <v>0.002376</v>
          </cell>
        </row>
        <row r="8">
          <cell r="AJ8" t="str">
            <v>散货</v>
          </cell>
        </row>
        <row r="9">
          <cell r="H9" t="str">
            <v>CT7-MP015-Pwk 30mm 150-250cc</v>
          </cell>
        </row>
        <row r="9">
          <cell r="AB9">
            <v>0.001546125</v>
          </cell>
        </row>
        <row r="9">
          <cell r="AJ9" t="str">
            <v>散货</v>
          </cell>
        </row>
        <row r="10">
          <cell r="H10" t="str">
            <v>CT7-MP016-Dm200 Dm200</v>
          </cell>
        </row>
        <row r="10">
          <cell r="AB10">
            <v>0.001386</v>
          </cell>
        </row>
        <row r="10">
          <cell r="AJ10" t="str">
            <v>散货</v>
          </cell>
        </row>
        <row r="11">
          <cell r="H11" t="str">
            <v>CT7-MP017-Cargo 150</v>
          </cell>
        </row>
        <row r="11">
          <cell r="AB11">
            <v>0.002016</v>
          </cell>
        </row>
        <row r="11">
          <cell r="AJ11" t="str">
            <v>散货</v>
          </cell>
        </row>
        <row r="12">
          <cell r="H12" t="str">
            <v>CT7-MP014-34 mm 125 V A 250 C</v>
          </cell>
        </row>
        <row r="12">
          <cell r="AB12">
            <v>0.001546125</v>
          </cell>
        </row>
        <row r="12">
          <cell r="AJ12" t="str">
            <v>散货</v>
          </cell>
        </row>
        <row r="13">
          <cell r="H13" t="str">
            <v>CT7-HDG-250Z</v>
          </cell>
        </row>
        <row r="13">
          <cell r="AB13">
            <v>0.0009568</v>
          </cell>
        </row>
        <row r="13">
          <cell r="AJ13" t="str">
            <v>散货</v>
          </cell>
        </row>
        <row r="14">
          <cell r="H14" t="str">
            <v>CT7-JYLQQLX-vortex250</v>
          </cell>
        </row>
        <row r="14">
          <cell r="AB14">
            <v>0.000146072</v>
          </cell>
        </row>
        <row r="14">
          <cell r="AJ14" t="str">
            <v>散货</v>
          </cell>
        </row>
        <row r="15">
          <cell r="H15" t="str">
            <v>CT7-QJZ-vento Rocketman 250</v>
          </cell>
        </row>
        <row r="15">
          <cell r="AB15">
            <v>0.00768</v>
          </cell>
        </row>
        <row r="15">
          <cell r="AJ15" t="str">
            <v>散货</v>
          </cell>
        </row>
        <row r="16">
          <cell r="H16" t="str">
            <v>CT7-TYSCYG-Amarillo</v>
          </cell>
        </row>
        <row r="16">
          <cell r="AB16">
            <v>0.00187812</v>
          </cell>
        </row>
        <row r="16">
          <cell r="AJ16" t="str">
            <v>散货</v>
          </cell>
        </row>
        <row r="17">
          <cell r="H17" t="str">
            <v>CT7-TYSCYG-Negro</v>
          </cell>
        </row>
        <row r="17">
          <cell r="AB17">
            <v>0.001639248</v>
          </cell>
        </row>
        <row r="17">
          <cell r="AJ17" t="str">
            <v>散货</v>
          </cell>
        </row>
        <row r="18">
          <cell r="H18" t="str">
            <v>CT7-TYSCYG-Gris</v>
          </cell>
        </row>
        <row r="18">
          <cell r="AB18">
            <v>0.0005232</v>
          </cell>
        </row>
        <row r="18">
          <cell r="AJ18" t="str">
            <v>散货</v>
          </cell>
        </row>
        <row r="19">
          <cell r="H19" t="str">
            <v>CT7-TYSCYG-Azul</v>
          </cell>
        </row>
        <row r="19">
          <cell r="AB19">
            <v>0.002136152</v>
          </cell>
        </row>
        <row r="19">
          <cell r="AJ19" t="str">
            <v>散货</v>
          </cell>
        </row>
        <row r="20">
          <cell r="H20" t="str">
            <v>CT7-LTS-Rojo</v>
          </cell>
        </row>
        <row r="20">
          <cell r="AB20">
            <v>0.00114048</v>
          </cell>
        </row>
        <row r="20">
          <cell r="AJ20" t="str">
            <v>散货</v>
          </cell>
        </row>
        <row r="21">
          <cell r="H21" t="str">
            <v>CT7-LTS-Azul</v>
          </cell>
        </row>
        <row r="21">
          <cell r="AB21">
            <v>0.00106848</v>
          </cell>
        </row>
        <row r="21">
          <cell r="AJ21" t="str">
            <v>散货</v>
          </cell>
        </row>
        <row r="22">
          <cell r="H22" t="str">
            <v>CT7-LTS-Negro</v>
          </cell>
        </row>
        <row r="22">
          <cell r="AB22">
            <v>0.000864</v>
          </cell>
        </row>
        <row r="22">
          <cell r="AJ22" t="str">
            <v>散货</v>
          </cell>
        </row>
        <row r="23">
          <cell r="H23" t="str">
            <v>CT7-WCMXYQ</v>
          </cell>
        </row>
        <row r="23">
          <cell r="AB23">
            <v>0.00035</v>
          </cell>
        </row>
        <row r="23">
          <cell r="AJ23" t="str">
            <v>散货</v>
          </cell>
        </row>
        <row r="24">
          <cell r="H24" t="str">
            <v>CT7-TYYSCB</v>
          </cell>
        </row>
        <row r="24">
          <cell r="AB24">
            <v>0.00231072</v>
          </cell>
        </row>
        <row r="24">
          <cell r="AJ24" t="str">
            <v>散货</v>
          </cell>
        </row>
        <row r="25">
          <cell r="H25" t="str">
            <v>CT7-LHQCXQ</v>
          </cell>
        </row>
        <row r="25">
          <cell r="AB25">
            <v>0</v>
          </cell>
        </row>
        <row r="25">
          <cell r="AJ25" t="str">
            <v>散货</v>
          </cell>
        </row>
        <row r="26">
          <cell r="H26" t="str">
            <v>CT7-SKPT-2PK</v>
          </cell>
        </row>
        <row r="26">
          <cell r="AB26">
            <v>7.92e-5</v>
          </cell>
        </row>
        <row r="26">
          <cell r="AJ26" t="str">
            <v>散货</v>
          </cell>
        </row>
        <row r="27">
          <cell r="H27" t="str">
            <v>CT7-DKPT(2PK)-DP(2PK)</v>
          </cell>
        </row>
        <row r="27">
          <cell r="AB27">
            <v>7.1136e-5</v>
          </cell>
        </row>
        <row r="27">
          <cell r="AJ27" t="str">
            <v>散货</v>
          </cell>
        </row>
        <row r="28">
          <cell r="H28" t="str">
            <v>CT7-LTQ-18PK</v>
          </cell>
        </row>
        <row r="28">
          <cell r="AB28">
            <v>0.000117648</v>
          </cell>
        </row>
        <row r="28">
          <cell r="AJ28" t="str">
            <v>散货</v>
          </cell>
        </row>
        <row r="29">
          <cell r="H29" t="str">
            <v>CT7-SG(2M)-DKPT(2pk)-LTQ(6PK)</v>
          </cell>
        </row>
        <row r="29">
          <cell r="AB29">
            <v>0.00061568</v>
          </cell>
        </row>
        <row r="29">
          <cell r="AJ29" t="str">
            <v>散货</v>
          </cell>
        </row>
        <row r="30">
          <cell r="H30" t="str">
            <v>CT7-SKPT(2PK)-SG(2M)-LTQ(6PK)</v>
          </cell>
        </row>
        <row r="30">
          <cell r="AB30">
            <v>0.0003432</v>
          </cell>
        </row>
        <row r="30">
          <cell r="AJ30" t="str">
            <v>散货</v>
          </cell>
        </row>
        <row r="31">
          <cell r="H31" t="str">
            <v>CT7-SG(2M)-LTQ(6PK)</v>
          </cell>
        </row>
        <row r="31">
          <cell r="AB31">
            <v>0.00066576</v>
          </cell>
        </row>
        <row r="31">
          <cell r="AJ31" t="str">
            <v>散货</v>
          </cell>
        </row>
        <row r="32">
          <cell r="H32" t="str">
            <v>CT7-SKD-Negro-2PK</v>
          </cell>
        </row>
        <row r="32">
          <cell r="AB32">
            <v>8.6688e-5</v>
          </cell>
        </row>
        <row r="32">
          <cell r="AJ32" t="str">
            <v>散货</v>
          </cell>
        </row>
        <row r="33">
          <cell r="H33" t="str">
            <v>CT7-LEDDCD-Rojo-2PK</v>
          </cell>
        </row>
        <row r="33">
          <cell r="AB33">
            <v>4.7872e-5</v>
          </cell>
        </row>
        <row r="33">
          <cell r="AJ33" t="str">
            <v>散货</v>
          </cell>
        </row>
        <row r="34">
          <cell r="H34" t="str">
            <v>CT7-LEDDCD-Blanco-2PK</v>
          </cell>
        </row>
        <row r="34">
          <cell r="AB34">
            <v>0.00014976</v>
          </cell>
        </row>
        <row r="34">
          <cell r="AJ34" t="str">
            <v>散货</v>
          </cell>
        </row>
        <row r="35">
          <cell r="H35" t="str">
            <v>CT7-LEDDCD-Ambar-2PK</v>
          </cell>
        </row>
        <row r="35">
          <cell r="AB35">
            <v>9.632e-5</v>
          </cell>
        </row>
        <row r="35">
          <cell r="AJ35" t="str">
            <v>散货</v>
          </cell>
        </row>
        <row r="36">
          <cell r="H36" t="str">
            <v>CT7-ZXDP-Blanco-2PK</v>
          </cell>
        </row>
        <row r="36">
          <cell r="AB36">
            <v>0.0001134</v>
          </cell>
        </row>
        <row r="36">
          <cell r="AJ36" t="str">
            <v>散货</v>
          </cell>
        </row>
        <row r="37">
          <cell r="H37" t="str">
            <v>CT7-DCD-BS-1157-Blanco-2PK</v>
          </cell>
        </row>
        <row r="37">
          <cell r="AB37">
            <v>4.7232e-5</v>
          </cell>
        </row>
        <row r="37">
          <cell r="AJ37" t="str">
            <v>散货</v>
          </cell>
        </row>
        <row r="38">
          <cell r="H38" t="str">
            <v>CT7-DCD-BS-1157-Rojo-2PK</v>
          </cell>
        </row>
        <row r="38">
          <cell r="AB38">
            <v>4.5936e-5</v>
          </cell>
        </row>
        <row r="38">
          <cell r="AJ38" t="str">
            <v>散货</v>
          </cell>
        </row>
        <row r="39">
          <cell r="H39" t="str">
            <v>CT7-SCBSDP-1156-Rojo-2PK</v>
          </cell>
        </row>
        <row r="39">
          <cell r="AB39">
            <v>0.0001104</v>
          </cell>
        </row>
        <row r="39">
          <cell r="AJ39" t="str">
            <v>散货</v>
          </cell>
        </row>
        <row r="40">
          <cell r="H40" t="str">
            <v>CT7-SCBSDP-1157-Rojo-2PK</v>
          </cell>
        </row>
        <row r="40">
          <cell r="AB40">
            <v>0.000100672</v>
          </cell>
        </row>
        <row r="40">
          <cell r="AJ40" t="str">
            <v>散货</v>
          </cell>
        </row>
        <row r="41">
          <cell r="H41" t="str">
            <v>CT7-DCD-1157-Blanco-2PK</v>
          </cell>
        </row>
        <row r="41">
          <cell r="AB41">
            <v>7.92e-5</v>
          </cell>
        </row>
        <row r="41">
          <cell r="AJ41" t="str">
            <v>散货</v>
          </cell>
        </row>
        <row r="42">
          <cell r="H42" t="str">
            <v>CT7-DCD-1157-Rojo-2PK</v>
          </cell>
        </row>
        <row r="42">
          <cell r="AB42">
            <v>7.5776e-5</v>
          </cell>
        </row>
        <row r="42">
          <cell r="AJ42" t="str">
            <v>散货</v>
          </cell>
        </row>
        <row r="43">
          <cell r="H43" t="str">
            <v>CT7-HKHDDHQ-250Z-Negrura</v>
          </cell>
        </row>
        <row r="43">
          <cell r="AB43">
            <v>0.0003672</v>
          </cell>
        </row>
        <row r="43">
          <cell r="AJ43" t="str">
            <v>散货</v>
          </cell>
        </row>
        <row r="44">
          <cell r="H44" t="str">
            <v>CT7-TMDHQ-250Z-Azul</v>
          </cell>
        </row>
        <row r="44">
          <cell r="AB44">
            <v>0.000336</v>
          </cell>
        </row>
        <row r="44">
          <cell r="AJ44" t="str">
            <v>散货</v>
          </cell>
        </row>
        <row r="45">
          <cell r="H45" t="str">
            <v>CT7-HDDHQ-FT150-Naranja</v>
          </cell>
        </row>
        <row r="45">
          <cell r="AB45">
            <v>0.000339184</v>
          </cell>
        </row>
        <row r="45">
          <cell r="AJ45" t="str">
            <v>散货</v>
          </cell>
        </row>
        <row r="46">
          <cell r="H46" t="str">
            <v>CT7-TMDHQ-FT150-Naranja</v>
          </cell>
        </row>
        <row r="46">
          <cell r="AB46">
            <v>0.0003654</v>
          </cell>
        </row>
        <row r="46">
          <cell r="AJ46" t="str">
            <v>散货</v>
          </cell>
        </row>
        <row r="47">
          <cell r="H47" t="str">
            <v>CT7-TMDHQ-Crossmax 300-Azul</v>
          </cell>
        </row>
        <row r="47">
          <cell r="AB47">
            <v>0.000347072</v>
          </cell>
        </row>
        <row r="47">
          <cell r="AJ47" t="str">
            <v>散货</v>
          </cell>
        </row>
        <row r="48">
          <cell r="H48" t="str">
            <v>CT7-TS-125z</v>
          </cell>
        </row>
        <row r="48">
          <cell r="AB48">
            <v>0.00132736</v>
          </cell>
        </row>
        <row r="48">
          <cell r="AJ48" t="str">
            <v>散货</v>
          </cell>
        </row>
        <row r="49">
          <cell r="H49" t="str">
            <v>CT7-TS-DM250</v>
          </cell>
        </row>
        <row r="49">
          <cell r="AB49">
            <v>0.000924</v>
          </cell>
        </row>
        <row r="49">
          <cell r="AJ49" t="str">
            <v>散货</v>
          </cell>
        </row>
        <row r="50">
          <cell r="H50" t="str">
            <v>CT7-TS-AT110</v>
          </cell>
        </row>
        <row r="50">
          <cell r="AB50">
            <v>0.000924</v>
          </cell>
        </row>
        <row r="50">
          <cell r="AJ50" t="str">
            <v>散货</v>
          </cell>
        </row>
        <row r="51">
          <cell r="H51" t="str">
            <v>ATV-CT7-TS</v>
          </cell>
        </row>
        <row r="51">
          <cell r="AB51">
            <v>0.000279864</v>
          </cell>
        </row>
        <row r="51">
          <cell r="AJ51" t="str">
            <v>散货</v>
          </cell>
        </row>
        <row r="52">
          <cell r="H52" t="str">
            <v>250z 19-23-CT7-TS</v>
          </cell>
        </row>
        <row r="52">
          <cell r="AB52">
            <v>0.00174464</v>
          </cell>
        </row>
        <row r="52">
          <cell r="AJ52" t="str">
            <v>散货</v>
          </cell>
        </row>
        <row r="53">
          <cell r="H53" t="str">
            <v>Dt125 Forza125 Ft125 Ft150-CT7-TS</v>
          </cell>
        </row>
        <row r="53">
          <cell r="AB53">
            <v>0.000924</v>
          </cell>
        </row>
        <row r="53">
          <cell r="AJ53" t="str">
            <v>散货</v>
          </cell>
        </row>
        <row r="54">
          <cell r="H54" t="str">
            <v>CT7-YMS-Fz16</v>
          </cell>
        </row>
        <row r="54">
          <cell r="AB54">
            <v>0.0008064</v>
          </cell>
        </row>
        <row r="54">
          <cell r="AJ54" t="str">
            <v>散货</v>
          </cell>
        </row>
        <row r="55">
          <cell r="H55" t="str">
            <v>CT7-YMS-Gtr Boxter RT</v>
          </cell>
        </row>
        <row r="55">
          <cell r="AB55">
            <v>0.000924</v>
          </cell>
        </row>
        <row r="55">
          <cell r="AJ55" t="str">
            <v>散货</v>
          </cell>
        </row>
        <row r="56">
          <cell r="H56" t="str">
            <v>Vento Tornado 250 -CT7-YMS</v>
          </cell>
        </row>
        <row r="56">
          <cell r="AB56">
            <v>0.00088881</v>
          </cell>
        </row>
        <row r="56">
          <cell r="AJ56" t="str">
            <v>散货</v>
          </cell>
        </row>
        <row r="57">
          <cell r="H57" t="str">
            <v>CT7-YMS-GN125</v>
          </cell>
        </row>
        <row r="57">
          <cell r="AB57">
            <v>0.000924</v>
          </cell>
        </row>
        <row r="57">
          <cell r="AJ57" t="str">
            <v>散货</v>
          </cell>
        </row>
        <row r="58">
          <cell r="H58" t="str">
            <v>CT7-YMS-Dinamo Deportiva R250</v>
          </cell>
        </row>
        <row r="58">
          <cell r="AB58">
            <v>0.000924</v>
          </cell>
        </row>
        <row r="58">
          <cell r="AJ58" t="str">
            <v>散货</v>
          </cell>
        </row>
        <row r="59">
          <cell r="H59" t="str">
            <v>CT7-YMS-Pulsar Ns Rs 200</v>
          </cell>
        </row>
        <row r="59">
          <cell r="AB59">
            <v>0.00065296</v>
          </cell>
        </row>
        <row r="59">
          <cell r="AJ59" t="str">
            <v>散货</v>
          </cell>
        </row>
        <row r="60">
          <cell r="H60" t="str">
            <v>RT200-CT7-YMS</v>
          </cell>
        </row>
        <row r="60">
          <cell r="AB60">
            <v>0.000652236</v>
          </cell>
        </row>
        <row r="60">
          <cell r="AJ60" t="str">
            <v>散货</v>
          </cell>
        </row>
        <row r="61">
          <cell r="H61" t="str">
            <v>Rxz Rxz135 Rxs115-CT7-YMS</v>
          </cell>
        </row>
        <row r="61">
          <cell r="AB61">
            <v>0.000616</v>
          </cell>
        </row>
        <row r="61">
          <cell r="AJ61" t="str">
            <v>散货</v>
          </cell>
        </row>
        <row r="62">
          <cell r="H62" t="str">
            <v>CT7-YMS-Gt150 Proton 150 200</v>
          </cell>
        </row>
        <row r="62">
          <cell r="AB62">
            <v>0.00068628</v>
          </cell>
        </row>
        <row r="62">
          <cell r="AJ62" t="str">
            <v>散货</v>
          </cell>
        </row>
        <row r="63">
          <cell r="H63" t="str">
            <v>CT7-YMS-Dm250</v>
          </cell>
        </row>
        <row r="63">
          <cell r="AB63">
            <v>0.000924</v>
          </cell>
        </row>
        <row r="63">
          <cell r="AJ63" t="str">
            <v>散货</v>
          </cell>
        </row>
        <row r="64">
          <cell r="H64" t="str">
            <v>CT7-YMS-Rc150</v>
          </cell>
        </row>
        <row r="64">
          <cell r="AB64">
            <v>0.00069552</v>
          </cell>
        </row>
        <row r="64">
          <cell r="AJ64" t="str">
            <v>散货</v>
          </cell>
        </row>
        <row r="65">
          <cell r="H65" t="str">
            <v>150z-CT7-YMS</v>
          </cell>
        </row>
        <row r="65">
          <cell r="AB65">
            <v>0.00062</v>
          </cell>
        </row>
        <row r="65">
          <cell r="AJ65" t="str">
            <v>散货</v>
          </cell>
        </row>
        <row r="66">
          <cell r="H66" t="str">
            <v>Ws175 Ws150-CT7-XQ</v>
          </cell>
        </row>
        <row r="66">
          <cell r="AB66">
            <v>0.001125</v>
          </cell>
        </row>
        <row r="66">
          <cell r="AJ66" t="str">
            <v>散货</v>
          </cell>
        </row>
        <row r="67">
          <cell r="H67" t="str">
            <v>Pulsar Rs200-CT7-XQ</v>
          </cell>
        </row>
        <row r="67">
          <cell r="AB67">
            <v>0.001345344</v>
          </cell>
        </row>
        <row r="67">
          <cell r="AJ67" t="str">
            <v>散货</v>
          </cell>
        </row>
        <row r="68">
          <cell r="H68" t="str">
            <v>Gixxer 155-CT7-XQ</v>
          </cell>
        </row>
        <row r="68">
          <cell r="AB68">
            <v>0.000163072</v>
          </cell>
        </row>
        <row r="68">
          <cell r="AJ68" t="str">
            <v>散货</v>
          </cell>
        </row>
        <row r="69">
          <cell r="H69" t="str">
            <v>125z Dm150-CT7-XQ</v>
          </cell>
        </row>
        <row r="69">
          <cell r="AB69">
            <v>0.00075264</v>
          </cell>
        </row>
        <row r="69">
          <cell r="AJ69" t="str">
            <v>散货</v>
          </cell>
        </row>
        <row r="70">
          <cell r="H70" t="str">
            <v>250z-CT7-XQ</v>
          </cell>
        </row>
        <row r="70">
          <cell r="AB70">
            <v>0.000753768</v>
          </cell>
        </row>
        <row r="70">
          <cell r="AJ70" t="str">
            <v>散货</v>
          </cell>
        </row>
        <row r="71">
          <cell r="H71" t="str">
            <v>Cargo 150-CT7-XQ</v>
          </cell>
        </row>
        <row r="71">
          <cell r="AB71">
            <v>0.000753536</v>
          </cell>
        </row>
        <row r="71">
          <cell r="AJ71" t="str">
            <v>散货</v>
          </cell>
        </row>
        <row r="72">
          <cell r="H72" t="str">
            <v>CT7-XQ-St70 St90</v>
          </cell>
        </row>
        <row r="72">
          <cell r="AB72">
            <v>0.00117</v>
          </cell>
        </row>
        <row r="72">
          <cell r="AJ72" t="str">
            <v>散货</v>
          </cell>
        </row>
        <row r="73">
          <cell r="H73" t="str">
            <v>Cargo 150-CT7-QDJ</v>
          </cell>
        </row>
        <row r="73">
          <cell r="AB73">
            <v>0.001218336</v>
          </cell>
        </row>
        <row r="73">
          <cell r="AJ73" t="str">
            <v>散货</v>
          </cell>
        </row>
        <row r="74">
          <cell r="H74" t="str">
            <v>Cygnus Alpha 115-CT7-QDJ</v>
          </cell>
        </row>
        <row r="74">
          <cell r="AB74">
            <v>0.0012556</v>
          </cell>
        </row>
        <row r="74">
          <cell r="AJ74" t="str">
            <v>散货</v>
          </cell>
        </row>
        <row r="75">
          <cell r="H75" t="str">
            <v>125/150/175cc-CT7-QDJ</v>
          </cell>
        </row>
        <row r="75">
          <cell r="AB75">
            <v>0.0013072</v>
          </cell>
        </row>
        <row r="75">
          <cell r="AJ75" t="str">
            <v>散货</v>
          </cell>
        </row>
        <row r="76">
          <cell r="H76" t="str">
            <v>DX-Crypton 105 110-CT7-QDJ</v>
          </cell>
        </row>
        <row r="76">
          <cell r="AB76">
            <v>0.001230488</v>
          </cell>
        </row>
        <row r="76">
          <cell r="AJ76" t="str">
            <v>散货</v>
          </cell>
        </row>
        <row r="77">
          <cell r="H77" t="str">
            <v>WX-Crypton 105 110-CT7-QDJ</v>
          </cell>
        </row>
        <row r="77">
          <cell r="AB77">
            <v>0.00130536</v>
          </cell>
        </row>
        <row r="77">
          <cell r="AJ77" t="str">
            <v>散货</v>
          </cell>
        </row>
        <row r="78">
          <cell r="H78" t="str">
            <v>CT7-QDJ-Ds150 Ws150/175</v>
          </cell>
        </row>
        <row r="78">
          <cell r="AB78">
            <v>0.0013818</v>
          </cell>
        </row>
        <row r="78">
          <cell r="AJ78" t="str">
            <v>散货</v>
          </cell>
        </row>
        <row r="79">
          <cell r="H79" t="str">
            <v>CT7-QDJ-Ds150 Xs150</v>
          </cell>
        </row>
        <row r="79">
          <cell r="AB79">
            <v>0.0012936</v>
          </cell>
        </row>
        <row r="79">
          <cell r="AJ79" t="str">
            <v>散货</v>
          </cell>
        </row>
        <row r="80">
          <cell r="H80" t="str">
            <v>CT7-QDJ-Dm200 Dm200sport</v>
          </cell>
        </row>
        <row r="80">
          <cell r="AB80">
            <v>0.001484448</v>
          </cell>
        </row>
        <row r="80">
          <cell r="AJ80" t="str">
            <v>散货</v>
          </cell>
        </row>
        <row r="81">
          <cell r="H81" t="str">
            <v>CT7-QDJ-Dm150 Ft150</v>
          </cell>
        </row>
        <row r="81">
          <cell r="AB81">
            <v>0.001402368</v>
          </cell>
        </row>
        <row r="81">
          <cell r="AJ81" t="str">
            <v>散货</v>
          </cell>
        </row>
        <row r="82">
          <cell r="H82" t="str">
            <v>CT7-QDJ-Trx250</v>
          </cell>
        </row>
        <row r="82">
          <cell r="AB82">
            <v>0.0014688</v>
          </cell>
        </row>
        <row r="82">
          <cell r="AJ82" t="str">
            <v>散货</v>
          </cell>
        </row>
        <row r="83">
          <cell r="H83" t="str">
            <v>Outlander Max 650 659-CT7-QDJ</v>
          </cell>
        </row>
        <row r="83">
          <cell r="AB83">
            <v>0.001655808</v>
          </cell>
        </row>
        <row r="83">
          <cell r="AJ83" t="str">
            <v>散货</v>
          </cell>
        </row>
        <row r="84">
          <cell r="H84" t="str">
            <v>Sportsman Magnum 335 400 500-CT7-QDJ</v>
          </cell>
        </row>
        <row r="84">
          <cell r="AB84">
            <v>0.001692</v>
          </cell>
        </row>
        <row r="84">
          <cell r="AJ84" t="str">
            <v>散货</v>
          </cell>
        </row>
        <row r="85">
          <cell r="H85" t="str">
            <v>Fz 2.0 16-CT7-QDJ</v>
          </cell>
        </row>
        <row r="85">
          <cell r="AB85">
            <v>0.001247344</v>
          </cell>
        </row>
        <row r="85">
          <cell r="AJ85" t="str">
            <v>散货</v>
          </cell>
        </row>
        <row r="86">
          <cell r="H86" t="str">
            <v>Xr250 Xl250-CT7-QDJ</v>
          </cell>
        </row>
        <row r="86">
          <cell r="AB86">
            <v>0.00174528</v>
          </cell>
        </row>
        <row r="86">
          <cell r="AJ86" t="str">
            <v>散货</v>
          </cell>
        </row>
        <row r="87">
          <cell r="H87" t="str">
            <v>Crossmax 250-CT7-QDJ</v>
          </cell>
        </row>
        <row r="87">
          <cell r="AB87">
            <v>0.001343936</v>
          </cell>
        </row>
        <row r="87">
          <cell r="AJ87" t="str">
            <v>散货</v>
          </cell>
        </row>
        <row r="88">
          <cell r="H88" t="str">
            <v>CT7-QDJ-250z 250 Sz</v>
          </cell>
        </row>
        <row r="88">
          <cell r="AB88">
            <v>0.001486848</v>
          </cell>
        </row>
        <row r="88">
          <cell r="AJ88" t="str">
            <v>散货</v>
          </cell>
        </row>
        <row r="89">
          <cell r="H89" t="str">
            <v>Tc250-CT7-QDJ</v>
          </cell>
        </row>
        <row r="89">
          <cell r="AB89">
            <v>0.00147204</v>
          </cell>
        </row>
        <row r="89">
          <cell r="AJ89" t="str">
            <v>散货</v>
          </cell>
        </row>
        <row r="90">
          <cell r="H90" t="str">
            <v>Vento Tornado 250-CT7-QDJ</v>
          </cell>
        </row>
        <row r="90">
          <cell r="AB90">
            <v>0.001389696</v>
          </cell>
        </row>
        <row r="90">
          <cell r="AJ90" t="str">
            <v>散货</v>
          </cell>
        </row>
        <row r="91">
          <cell r="H91" t="str">
            <v>CT7-LLTZ-En125-118L</v>
          </cell>
        </row>
        <row r="91">
          <cell r="AB91">
            <v>0.001258848</v>
          </cell>
        </row>
        <row r="91">
          <cell r="AJ91" t="str">
            <v>散货</v>
          </cell>
        </row>
        <row r="92">
          <cell r="H92" t="str">
            <v>CT7-LLTZ-FT125-116L-C</v>
          </cell>
        </row>
        <row r="92">
          <cell r="AB92">
            <v>0.00124032</v>
          </cell>
        </row>
        <row r="92">
          <cell r="AJ92" t="str">
            <v>散货</v>
          </cell>
        </row>
        <row r="93">
          <cell r="H93" t="str">
            <v>CT7-LLTZ-BM150-128L-C</v>
          </cell>
        </row>
        <row r="93">
          <cell r="AB93">
            <v>0.001354896</v>
          </cell>
        </row>
        <row r="93">
          <cell r="AJ93" t="str">
            <v>散货</v>
          </cell>
        </row>
        <row r="94">
          <cell r="H94" t="str">
            <v>CT7-LLTZ-Ft200/Rt180-128L-C</v>
          </cell>
        </row>
        <row r="94">
          <cell r="AB94">
            <v>0.00132696</v>
          </cell>
        </row>
        <row r="94">
          <cell r="AJ94" t="str">
            <v>散货</v>
          </cell>
        </row>
        <row r="95">
          <cell r="H95" t="str">
            <v>CT7-LLTZ-CGL125-112L-B</v>
          </cell>
        </row>
        <row r="95">
          <cell r="AB95">
            <v>0.002</v>
          </cell>
        </row>
        <row r="95">
          <cell r="AJ95" t="str">
            <v>散货</v>
          </cell>
        </row>
        <row r="96">
          <cell r="H96" t="str">
            <v>CT7-LLTZ-FT125-102L-B</v>
          </cell>
        </row>
        <row r="96">
          <cell r="AB96">
            <v>0.002</v>
          </cell>
        </row>
        <row r="96">
          <cell r="AJ96" t="str">
            <v>散货</v>
          </cell>
        </row>
        <row r="97">
          <cell r="H97" t="str">
            <v>CT7-LLTZ-Veloci Razzer 200cc 20-23-124L-C</v>
          </cell>
        </row>
        <row r="97">
          <cell r="AB97">
            <v>0.00124032</v>
          </cell>
        </row>
        <row r="97">
          <cell r="AJ97" t="str">
            <v>散货</v>
          </cell>
        </row>
        <row r="98">
          <cell r="H98" t="str">
            <v>CT7-LLTZ-Lithium 150cc-102L-C</v>
          </cell>
        </row>
        <row r="98">
          <cell r="AB98">
            <v>0.0012274</v>
          </cell>
        </row>
        <row r="98">
          <cell r="AJ98" t="str">
            <v>散货</v>
          </cell>
        </row>
        <row r="99">
          <cell r="H99" t="str">
            <v>CT7-LLTZ-200z-126L</v>
          </cell>
        </row>
        <row r="99">
          <cell r="AB99">
            <v>0.001299456</v>
          </cell>
        </row>
        <row r="99">
          <cell r="AJ99" t="str">
            <v>散货</v>
          </cell>
        </row>
        <row r="100">
          <cell r="H100" t="str">
            <v>CT7-LLTZ-AT110-100L</v>
          </cell>
        </row>
        <row r="100">
          <cell r="AB100">
            <v>0.001214208</v>
          </cell>
        </row>
        <row r="100">
          <cell r="AJ100" t="str">
            <v>散货</v>
          </cell>
        </row>
        <row r="101">
          <cell r="H101" t="str">
            <v>CT7-LLTZ-CB190-120L</v>
          </cell>
        </row>
        <row r="101">
          <cell r="AB101">
            <v>0.001622016</v>
          </cell>
        </row>
        <row r="101">
          <cell r="AJ101" t="str">
            <v>散货</v>
          </cell>
        </row>
        <row r="102">
          <cell r="H102" t="str">
            <v>CT7-LLTZ-DM150-130L</v>
          </cell>
        </row>
        <row r="102">
          <cell r="AB102">
            <v>0.002</v>
          </cell>
        </row>
        <row r="102">
          <cell r="AJ102" t="str">
            <v>散货</v>
          </cell>
        </row>
        <row r="103">
          <cell r="H103" t="str">
            <v>CT7-LLTZ-DM150-132L</v>
          </cell>
        </row>
        <row r="103">
          <cell r="AB103">
            <v>0.002280912</v>
          </cell>
        </row>
        <row r="103">
          <cell r="AJ103" t="str">
            <v>散货</v>
          </cell>
        </row>
        <row r="104">
          <cell r="H104" t="str">
            <v>CT7-LLTZ-DM200-128L</v>
          </cell>
        </row>
        <row r="104">
          <cell r="AB104">
            <v>0.001991176</v>
          </cell>
        </row>
        <row r="104">
          <cell r="AJ104" t="str">
            <v>散货</v>
          </cell>
        </row>
        <row r="105">
          <cell r="H105" t="str">
            <v>CT7-LLTZ-DT150-108L</v>
          </cell>
        </row>
        <row r="105">
          <cell r="AB105">
            <v>0.00116736</v>
          </cell>
        </row>
        <row r="105">
          <cell r="AJ105" t="str">
            <v>散货</v>
          </cell>
        </row>
        <row r="106">
          <cell r="H106" t="str">
            <v>CT7-LLTZ-FT250-126L</v>
          </cell>
        </row>
        <row r="106">
          <cell r="AB106">
            <v>0.002</v>
          </cell>
        </row>
        <row r="106">
          <cell r="AJ106" t="str">
            <v>散货</v>
          </cell>
        </row>
        <row r="107">
          <cell r="H107" t="str">
            <v>CT7-LLTZ-FT250-128L</v>
          </cell>
        </row>
        <row r="107">
          <cell r="AB107">
            <v>0.001239504</v>
          </cell>
        </row>
        <row r="107">
          <cell r="AJ107" t="str">
            <v>散货</v>
          </cell>
        </row>
        <row r="108">
          <cell r="H108" t="str">
            <v>CT7-LLTZ-Gixxer 155cc-132L</v>
          </cell>
        </row>
        <row r="108">
          <cell r="AB108">
            <v>0.001142784</v>
          </cell>
        </row>
        <row r="108">
          <cell r="AJ108" t="str">
            <v>散货</v>
          </cell>
        </row>
        <row r="109">
          <cell r="H109" t="str">
            <v>CT7-LLTZ-GL150-120L</v>
          </cell>
        </row>
        <row r="109">
          <cell r="AB109">
            <v>0.002</v>
          </cell>
        </row>
        <row r="109">
          <cell r="AJ109" t="str">
            <v>散货</v>
          </cell>
        </row>
        <row r="110">
          <cell r="H110" t="str">
            <v>CT7-LLTZ-Ns160-136L-o-ring</v>
          </cell>
        </row>
        <row r="110">
          <cell r="AB110">
            <v>0.002108304</v>
          </cell>
        </row>
        <row r="110">
          <cell r="AJ110" t="str">
            <v>散货</v>
          </cell>
        </row>
        <row r="111">
          <cell r="H111" t="str">
            <v>CT7-LLTZ-RC150-118L</v>
          </cell>
        </row>
        <row r="111">
          <cell r="AB111">
            <v>0.002</v>
          </cell>
        </row>
        <row r="111">
          <cell r="AJ111" t="str">
            <v>散货</v>
          </cell>
        </row>
        <row r="112">
          <cell r="H112" t="str">
            <v>CT7-LLTZ-RC150-122L</v>
          </cell>
        </row>
        <row r="112">
          <cell r="AB112">
            <v>0.00131328</v>
          </cell>
        </row>
        <row r="112">
          <cell r="AJ112" t="str">
            <v>散货</v>
          </cell>
        </row>
        <row r="113">
          <cell r="H113" t="str">
            <v>CT7-LLTZ-Rt200-132L</v>
          </cell>
        </row>
        <row r="113">
          <cell r="AB113">
            <v>0.00240096</v>
          </cell>
        </row>
        <row r="113">
          <cell r="AJ113" t="str">
            <v>散货</v>
          </cell>
        </row>
        <row r="114">
          <cell r="H114" t="str">
            <v>CT7-LLTZ-Tc200-106L</v>
          </cell>
        </row>
        <row r="114">
          <cell r="AB114">
            <v>0.0014592</v>
          </cell>
        </row>
        <row r="114">
          <cell r="AJ114" t="str">
            <v>散货</v>
          </cell>
        </row>
        <row r="115">
          <cell r="H115" t="str">
            <v>CT7-LLTZ-Tc200-110L</v>
          </cell>
        </row>
        <row r="115">
          <cell r="AB115">
            <v>0.002</v>
          </cell>
        </row>
        <row r="115">
          <cell r="AJ115" t="str">
            <v>散货</v>
          </cell>
        </row>
        <row r="116">
          <cell r="H116" t="str">
            <v>CT7-LLTZ-Veloci Xeverus 250 Reforzada-132L</v>
          </cell>
        </row>
        <row r="116">
          <cell r="AB116">
            <v>0.002143296</v>
          </cell>
        </row>
        <row r="116">
          <cell r="AJ116" t="str">
            <v>散货</v>
          </cell>
        </row>
        <row r="117">
          <cell r="H117" t="str">
            <v>CT7-LLTZ-Vento Crossmax 250-130L</v>
          </cell>
        </row>
        <row r="117">
          <cell r="AB117">
            <v>0.00209088</v>
          </cell>
        </row>
        <row r="117">
          <cell r="AJ117" t="str">
            <v>散货</v>
          </cell>
        </row>
        <row r="118">
          <cell r="H118" t="str">
            <v>CT7-LLTZ-Vento Cyclone 150-116L</v>
          </cell>
        </row>
        <row r="118">
          <cell r="AB118">
            <v>0.001354896</v>
          </cell>
        </row>
        <row r="118">
          <cell r="AJ118" t="str">
            <v>散货</v>
          </cell>
        </row>
        <row r="119">
          <cell r="H119" t="str">
            <v>CT7-LLTZ-Xtz125-132L</v>
          </cell>
        </row>
        <row r="119">
          <cell r="AB119">
            <v>0.00238128</v>
          </cell>
        </row>
        <row r="119">
          <cell r="AJ119" t="str">
            <v>散货</v>
          </cell>
        </row>
        <row r="120">
          <cell r="H120" t="str">
            <v>CT7-YFLT-520H-120L</v>
          </cell>
        </row>
        <row r="120">
          <cell r="AB120">
            <v>0.001085312</v>
          </cell>
        </row>
        <row r="120">
          <cell r="AJ120" t="str">
            <v>散货</v>
          </cell>
        </row>
        <row r="121">
          <cell r="H121" t="str">
            <v>CT7-YFLT-428H-136L</v>
          </cell>
        </row>
        <row r="121">
          <cell r="AB121">
            <v>0.000530816</v>
          </cell>
        </row>
        <row r="121">
          <cell r="AJ121" t="str">
            <v>散货</v>
          </cell>
        </row>
        <row r="122">
          <cell r="H122" t="str">
            <v>CT7-MTCHSJ-DS150</v>
          </cell>
        </row>
        <row r="122">
          <cell r="AB122">
            <v>0.00250368</v>
          </cell>
        </row>
        <row r="122">
          <cell r="AJ122" t="str">
            <v>散货</v>
          </cell>
        </row>
        <row r="123">
          <cell r="H123" t="str">
            <v>CT7-TLZ-FT125</v>
          </cell>
        </row>
        <row r="123">
          <cell r="AB123">
            <v>0.000703824</v>
          </cell>
        </row>
        <row r="123">
          <cell r="AJ123" t="str">
            <v>散货</v>
          </cell>
        </row>
        <row r="124">
          <cell r="H124" t="str">
            <v>CT7-QBZ-FT125 FT150</v>
          </cell>
        </row>
        <row r="124">
          <cell r="AB124">
            <v>0.0073584</v>
          </cell>
        </row>
        <row r="124">
          <cell r="AJ124" t="str">
            <v>散货</v>
          </cell>
        </row>
        <row r="125">
          <cell r="H125" t="str">
            <v>CT7-QBZ-DT150 SPORT</v>
          </cell>
        </row>
        <row r="125">
          <cell r="AB125">
            <v>0.007046055</v>
          </cell>
        </row>
        <row r="125">
          <cell r="AJ125" t="str">
            <v>散货</v>
          </cell>
        </row>
        <row r="126">
          <cell r="H126" t="str">
            <v>CT7-QBZ-FT250 TS</v>
          </cell>
        </row>
        <row r="126">
          <cell r="AB126">
            <v>0.006897792</v>
          </cell>
        </row>
        <row r="126">
          <cell r="AJ126" t="str">
            <v>散货</v>
          </cell>
        </row>
        <row r="127">
          <cell r="H127" t="str">
            <v>CT7-QBZ-250Z</v>
          </cell>
        </row>
        <row r="127">
          <cell r="AB127">
            <v>0.01063728</v>
          </cell>
        </row>
        <row r="127">
          <cell r="AJ127" t="str">
            <v>散货</v>
          </cell>
        </row>
        <row r="128">
          <cell r="H128" t="str">
            <v>CT7-QBZ-150Z 170Z 200Z</v>
          </cell>
        </row>
        <row r="128">
          <cell r="AB128">
            <v>0.00576</v>
          </cell>
        </row>
        <row r="128">
          <cell r="AJ128" t="str">
            <v>散货</v>
          </cell>
        </row>
        <row r="129">
          <cell r="H129" t="str">
            <v>CT7-QBZ-DM200</v>
          </cell>
        </row>
        <row r="129">
          <cell r="AB129">
            <v>0.00861168</v>
          </cell>
        </row>
        <row r="129">
          <cell r="AJ129" t="str">
            <v>散货</v>
          </cell>
        </row>
        <row r="130">
          <cell r="H130" t="str">
            <v>CT7-QBZ-Xr125 Xr150</v>
          </cell>
        </row>
        <row r="130">
          <cell r="AB130">
            <v>0.00791616</v>
          </cell>
        </row>
        <row r="130">
          <cell r="AJ130" t="str">
            <v>散货</v>
          </cell>
        </row>
        <row r="131">
          <cell r="H131" t="str">
            <v>CT7-QBZ-Cargo 150 Gl150</v>
          </cell>
        </row>
        <row r="131">
          <cell r="AB131">
            <v>0.0057304</v>
          </cell>
        </row>
        <row r="131">
          <cell r="AJ131" t="str">
            <v>散货</v>
          </cell>
        </row>
        <row r="132">
          <cell r="H132" t="str">
            <v>CT7-QBZ-FZ16 FZ 2.0</v>
          </cell>
        </row>
        <row r="132">
          <cell r="AB132">
            <v>0.013276288</v>
          </cell>
        </row>
        <row r="132">
          <cell r="AJ132" t="str">
            <v>散货</v>
          </cell>
        </row>
        <row r="133">
          <cell r="H133" t="str">
            <v>CT7-QBZ-125Z</v>
          </cell>
        </row>
        <row r="133">
          <cell r="AB133">
            <v>0.005953352</v>
          </cell>
        </row>
        <row r="133">
          <cell r="AJ133" t="str">
            <v>散货</v>
          </cell>
        </row>
        <row r="134">
          <cell r="H134" t="str">
            <v>CT7-QBZ-CGL125</v>
          </cell>
        </row>
        <row r="134">
          <cell r="AB134">
            <v>0.006158336</v>
          </cell>
        </row>
        <row r="134">
          <cell r="AJ134" t="str">
            <v>散货</v>
          </cell>
        </row>
        <row r="135">
          <cell r="H135" t="str">
            <v>FS001-1K0121205AB-CT7</v>
          </cell>
        </row>
        <row r="135">
          <cell r="AB135">
            <v>0.061722</v>
          </cell>
        </row>
        <row r="135">
          <cell r="AJ135" t="str">
            <v>散货</v>
          </cell>
        </row>
        <row r="136">
          <cell r="H136" t="str">
            <v>FS002-1KM-959-455G-CT7</v>
          </cell>
        </row>
        <row r="136">
          <cell r="AB136">
            <v>0.01865136</v>
          </cell>
        </row>
        <row r="136">
          <cell r="AJ136" t="str">
            <v>散货</v>
          </cell>
        </row>
        <row r="137">
          <cell r="H137" t="str">
            <v>CT7-HBZ-Xeverus 250</v>
          </cell>
        </row>
        <row r="137">
          <cell r="AB137">
            <v>0.00271584</v>
          </cell>
        </row>
        <row r="137">
          <cell r="AJ137" t="str">
            <v>散货</v>
          </cell>
        </row>
        <row r="138">
          <cell r="H138" t="str">
            <v>CT7-HBZ-Ft200 Dt250 Rt180</v>
          </cell>
        </row>
        <row r="138">
          <cell r="AB138">
            <v>0.003159024</v>
          </cell>
        </row>
        <row r="138">
          <cell r="AJ138" t="str">
            <v>散货</v>
          </cell>
        </row>
        <row r="139">
          <cell r="H139" t="str">
            <v>CT7-HBZ-Crossmax 150 170 200 220 250</v>
          </cell>
        </row>
        <row r="139">
          <cell r="AB139">
            <v>0.002412816</v>
          </cell>
        </row>
        <row r="139">
          <cell r="AJ139" t="str">
            <v>散货</v>
          </cell>
        </row>
        <row r="140">
          <cell r="H140" t="str">
            <v>CT7-HBZ-Gn125</v>
          </cell>
        </row>
        <row r="140">
          <cell r="AB140">
            <v>0.003687552</v>
          </cell>
        </row>
        <row r="140">
          <cell r="AJ140" t="str">
            <v>散货</v>
          </cell>
        </row>
        <row r="141">
          <cell r="H141" t="str">
            <v>Vento Crossmax 200 250-HSCB-CT7</v>
          </cell>
        </row>
        <row r="141">
          <cell r="AB141">
            <v>0.001575</v>
          </cell>
        </row>
        <row r="141">
          <cell r="AJ141" t="str">
            <v>散货</v>
          </cell>
        </row>
        <row r="142">
          <cell r="H142" t="str">
            <v>Reptile 150 200-SCG-CT7</v>
          </cell>
        </row>
        <row r="142">
          <cell r="AB142">
            <v>0.00389376</v>
          </cell>
        </row>
        <row r="142">
          <cell r="AJ142" t="str">
            <v>散货</v>
          </cell>
        </row>
        <row r="143">
          <cell r="H143" t="str">
            <v>170z 200z 250z-HSCKQ-CT7</v>
          </cell>
        </row>
        <row r="143">
          <cell r="AB143">
            <v>0.003314688</v>
          </cell>
        </row>
        <row r="143">
          <cell r="AJ143" t="str">
            <v>散货</v>
          </cell>
        </row>
        <row r="144">
          <cell r="H144" t="str">
            <v>CT7-HSCKQ-DM250X</v>
          </cell>
        </row>
        <row r="144">
          <cell r="AB144">
            <v>0.002025</v>
          </cell>
        </row>
        <row r="144">
          <cell r="AJ144" t="str">
            <v>散货</v>
          </cell>
        </row>
        <row r="145">
          <cell r="H145" t="str">
            <v>CT7-HSCKQ-Crossmax 250</v>
          </cell>
        </row>
        <row r="145">
          <cell r="AB145">
            <v>0.002025</v>
          </cell>
        </row>
        <row r="145">
          <cell r="AJ145" t="str">
            <v>散货</v>
          </cell>
        </row>
        <row r="146">
          <cell r="H146" t="str">
            <v>CT7-HJTZC-150z</v>
          </cell>
        </row>
        <row r="146">
          <cell r="AB146">
            <v>0.001</v>
          </cell>
        </row>
        <row r="146">
          <cell r="AJ146" t="str">
            <v>散货</v>
          </cell>
        </row>
        <row r="147">
          <cell r="H147" t="str">
            <v>CT7-HJTZC-Vitalia 150</v>
          </cell>
        </row>
        <row r="147">
          <cell r="AB147">
            <v>0.0002625</v>
          </cell>
        </row>
        <row r="147">
          <cell r="AJ147" t="str">
            <v>散货</v>
          </cell>
        </row>
        <row r="148">
          <cell r="H148" t="str">
            <v>CT7-HJTZC-170z</v>
          </cell>
        </row>
        <row r="148">
          <cell r="AB148">
            <v>0.001</v>
          </cell>
        </row>
        <row r="148">
          <cell r="AJ148" t="str">
            <v>散货</v>
          </cell>
        </row>
        <row r="149">
          <cell r="H149" t="str">
            <v>CT7-HJTZCTZ-FZ16</v>
          </cell>
        </row>
        <row r="149">
          <cell r="AB149">
            <v>0.001</v>
          </cell>
        </row>
        <row r="149">
          <cell r="AJ149" t="str">
            <v>散货</v>
          </cell>
        </row>
        <row r="150">
          <cell r="H150" t="str">
            <v>CT7-HJTZC-Gn125 En125</v>
          </cell>
        </row>
        <row r="150">
          <cell r="AB150">
            <v>0.001</v>
          </cell>
        </row>
        <row r="150">
          <cell r="AJ150" t="str">
            <v>散货</v>
          </cell>
        </row>
        <row r="151">
          <cell r="H151" t="str">
            <v>CT7-HJTZC-Veloci Xeverus 250</v>
          </cell>
        </row>
        <row r="151">
          <cell r="AB151">
            <v>0.001</v>
          </cell>
        </row>
        <row r="151">
          <cell r="AJ151" t="str">
            <v>散货</v>
          </cell>
        </row>
        <row r="152">
          <cell r="H152" t="str">
            <v>NS200-CT7-QHSCTZ</v>
          </cell>
        </row>
        <row r="152">
          <cell r="AB152">
            <v>0.00031464</v>
          </cell>
        </row>
        <row r="152">
          <cell r="AJ152" t="str">
            <v>散货</v>
          </cell>
        </row>
        <row r="153">
          <cell r="H153" t="str">
            <v>N250-CT7-SCP</v>
          </cell>
        </row>
        <row r="153">
          <cell r="AB153">
            <v>0.0006</v>
          </cell>
        </row>
        <row r="153">
          <cell r="AJ153" t="str">
            <v>散货</v>
          </cell>
        </row>
        <row r="154">
          <cell r="H154" t="str">
            <v>170Z-CT7-SCP</v>
          </cell>
        </row>
        <row r="154">
          <cell r="AB154">
            <v>0.00015732</v>
          </cell>
        </row>
        <row r="154">
          <cell r="AJ154" t="str">
            <v>散货</v>
          </cell>
        </row>
        <row r="155">
          <cell r="H155" t="str">
            <v>N250-CT7-QHSCTZ</v>
          </cell>
        </row>
        <row r="155">
          <cell r="AB155">
            <v>0.00031464</v>
          </cell>
        </row>
        <row r="155">
          <cell r="AJ155" t="str">
            <v>散货</v>
          </cell>
        </row>
        <row r="156">
          <cell r="H156" t="str">
            <v>CT7-TYSCP</v>
          </cell>
        </row>
        <row r="156">
          <cell r="AB156">
            <v>0.0006</v>
          </cell>
        </row>
        <row r="156">
          <cell r="AJ156" t="str">
            <v>散货</v>
          </cell>
        </row>
        <row r="157">
          <cell r="H157" t="str">
            <v>CT7-SCP-DM200</v>
          </cell>
        </row>
        <row r="157">
          <cell r="AB157">
            <v>0.0006</v>
          </cell>
        </row>
        <row r="157">
          <cell r="AJ157" t="str">
            <v>散货</v>
          </cell>
        </row>
        <row r="158">
          <cell r="H158" t="str">
            <v>ATV150-CT7-SCP</v>
          </cell>
        </row>
        <row r="158">
          <cell r="AB158">
            <v>0.00015732</v>
          </cell>
        </row>
        <row r="158">
          <cell r="AJ158" t="str">
            <v>散货</v>
          </cell>
        </row>
        <row r="159">
          <cell r="H159" t="str">
            <v>CT7-SCP-Vortx200/250</v>
          </cell>
        </row>
        <row r="159">
          <cell r="AB159">
            <v>0.0006</v>
          </cell>
        </row>
        <row r="159">
          <cell r="AJ159" t="str">
            <v>散货</v>
          </cell>
        </row>
        <row r="160">
          <cell r="H160" t="str">
            <v>150Z-CT7-LHP</v>
          </cell>
        </row>
        <row r="160">
          <cell r="AB160">
            <v>0.00035152</v>
          </cell>
        </row>
        <row r="160">
          <cell r="AJ160" t="str">
            <v>散货</v>
          </cell>
        </row>
        <row r="161">
          <cell r="H161" t="str">
            <v>Vento Rocketman 250-CT7-LHP</v>
          </cell>
        </row>
        <row r="161">
          <cell r="AB161">
            <v>0.0004608</v>
          </cell>
        </row>
        <row r="161">
          <cell r="AJ161" t="str">
            <v>散货</v>
          </cell>
        </row>
        <row r="162">
          <cell r="H162" t="str">
            <v>FT110-CT7-HQZC</v>
          </cell>
        </row>
        <row r="162">
          <cell r="AB162">
            <v>0.001372</v>
          </cell>
        </row>
        <row r="162">
          <cell r="AJ162" t="str">
            <v>散货</v>
          </cell>
        </row>
        <row r="163">
          <cell r="H163" t="str">
            <v>CS125-CT7-HQZC</v>
          </cell>
        </row>
        <row r="163">
          <cell r="AB163">
            <v>0.001829175</v>
          </cell>
        </row>
        <row r="163">
          <cell r="AJ163" t="str">
            <v>散货</v>
          </cell>
        </row>
        <row r="164">
          <cell r="H164" t="str">
            <v>CT7-MP001-125cc 150cc</v>
          </cell>
        </row>
        <row r="164">
          <cell r="AB164">
            <v>0.015625</v>
          </cell>
        </row>
        <row r="164">
          <cell r="AJ164" t="str">
            <v>散货</v>
          </cell>
        </row>
        <row r="165">
          <cell r="H165" t="str">
            <v>CT7-MP002-Ybr125</v>
          </cell>
        </row>
        <row r="165">
          <cell r="AB165">
            <v>0.015625</v>
          </cell>
        </row>
        <row r="165">
          <cell r="AJ165" t="str">
            <v>散货</v>
          </cell>
        </row>
        <row r="166">
          <cell r="H166" t="str">
            <v>CT7-MP003-Dazon 200cc</v>
          </cell>
        </row>
        <row r="166">
          <cell r="AB166">
            <v>0.015625</v>
          </cell>
        </row>
        <row r="166">
          <cell r="AJ166" t="str">
            <v>散货</v>
          </cell>
        </row>
        <row r="167">
          <cell r="H167" t="str">
            <v>CT7-MP004-Ns 160 19-24</v>
          </cell>
        </row>
        <row r="167">
          <cell r="AB167">
            <v>0.015625</v>
          </cell>
        </row>
        <row r="167">
          <cell r="AJ167" t="str">
            <v>散货</v>
          </cell>
        </row>
        <row r="168">
          <cell r="H168" t="str">
            <v>CT7-MP005-Pulsar Ns200</v>
          </cell>
        </row>
        <row r="168">
          <cell r="AB168">
            <v>0.015625</v>
          </cell>
        </row>
        <row r="168">
          <cell r="AJ168" t="str">
            <v>散货</v>
          </cell>
        </row>
        <row r="169">
          <cell r="H169" t="str">
            <v>CT7-MP006- Rt250 Sport 250z Dm250</v>
          </cell>
        </row>
        <row r="169">
          <cell r="AB169">
            <v>0.015625</v>
          </cell>
        </row>
        <row r="169">
          <cell r="AJ169" t="str">
            <v>散货</v>
          </cell>
        </row>
        <row r="170">
          <cell r="H170" t="str">
            <v>CT7-MP007-Vento Tornado/rocketman 250</v>
          </cell>
        </row>
        <row r="170">
          <cell r="AB170">
            <v>0.015625</v>
          </cell>
        </row>
        <row r="170">
          <cell r="AJ170" t="str">
            <v>散货</v>
          </cell>
        </row>
        <row r="171">
          <cell r="H171" t="str">
            <v>CT7-MP008-Dm150</v>
          </cell>
        </row>
        <row r="171">
          <cell r="AB171">
            <v>0.015625</v>
          </cell>
        </row>
        <row r="171">
          <cell r="AJ171" t="str">
            <v>散货</v>
          </cell>
        </row>
        <row r="172">
          <cell r="H172" t="str">
            <v>CT7-MP026-Dm250</v>
          </cell>
        </row>
        <row r="172">
          <cell r="AB172">
            <v>0.00231</v>
          </cell>
        </row>
        <row r="172">
          <cell r="AJ172" t="str">
            <v>散货</v>
          </cell>
        </row>
        <row r="173">
          <cell r="H173" t="str">
            <v>CT7-MP027-Xtz125 Yb125 Ybr125</v>
          </cell>
        </row>
        <row r="173">
          <cell r="AB173">
            <v>0.002805</v>
          </cell>
        </row>
        <row r="173">
          <cell r="AJ173" t="str">
            <v>散货</v>
          </cell>
        </row>
        <row r="174">
          <cell r="H174" t="str">
            <v>CT7-MP028-200z</v>
          </cell>
        </row>
        <row r="174">
          <cell r="AB174">
            <v>0.002805</v>
          </cell>
        </row>
        <row r="174">
          <cell r="AJ174" t="str">
            <v>散货</v>
          </cell>
        </row>
        <row r="175">
          <cell r="H175" t="str">
            <v>CT7-MP029-Dinamo 200cc</v>
          </cell>
        </row>
        <row r="175">
          <cell r="AB175">
            <v>0.002805</v>
          </cell>
        </row>
        <row r="175">
          <cell r="AJ175" t="str">
            <v>散货</v>
          </cell>
        </row>
        <row r="176">
          <cell r="H176" t="str">
            <v>CT7-MP030-Crossmax 250</v>
          </cell>
        </row>
        <row r="176">
          <cell r="AB176">
            <v>0.002805</v>
          </cell>
        </row>
        <row r="176">
          <cell r="AJ176" t="str">
            <v>散货</v>
          </cell>
        </row>
        <row r="177">
          <cell r="H177" t="str">
            <v>CT7-MP031-Gixxer 155</v>
          </cell>
        </row>
        <row r="177">
          <cell r="AB177">
            <v>0.002805</v>
          </cell>
        </row>
        <row r="177">
          <cell r="AJ177" t="str">
            <v>散货</v>
          </cell>
        </row>
        <row r="178">
          <cell r="H178" t="str">
            <v>CT7-MP020-Rt180 Ft180 Ft180ts</v>
          </cell>
        </row>
        <row r="178">
          <cell r="AB178">
            <v>0.002805</v>
          </cell>
        </row>
        <row r="178">
          <cell r="AJ178" t="str">
            <v>散货</v>
          </cell>
        </row>
        <row r="179">
          <cell r="H179" t="str">
            <v>CT7-MP021-Rs200 As200 Ns200</v>
          </cell>
        </row>
        <row r="179">
          <cell r="AB179">
            <v>0.003168</v>
          </cell>
        </row>
        <row r="179">
          <cell r="AJ179" t="str">
            <v>散货</v>
          </cell>
        </row>
        <row r="180">
          <cell r="H180" t="str">
            <v>CT7-MP022-Ft125 Dt125</v>
          </cell>
        </row>
        <row r="180">
          <cell r="AB180">
            <v>0.002805</v>
          </cell>
        </row>
        <row r="180">
          <cell r="AJ180" t="str">
            <v>散货</v>
          </cell>
        </row>
        <row r="181">
          <cell r="H181" t="str">
            <v>CT7-MP023-Vgo125 Cs125 D125</v>
          </cell>
        </row>
        <row r="181">
          <cell r="AB181">
            <v>0.002805</v>
          </cell>
        </row>
        <row r="181">
          <cell r="AJ181" t="str">
            <v>散货</v>
          </cell>
        </row>
        <row r="182">
          <cell r="H182" t="str">
            <v>CT7-MP024-Gl150 Xr150 Xr150l</v>
          </cell>
        </row>
        <row r="182">
          <cell r="AB182">
            <v>0.002805</v>
          </cell>
        </row>
        <row r="182">
          <cell r="AJ182" t="str">
            <v>散货</v>
          </cell>
        </row>
        <row r="183">
          <cell r="H183" t="str">
            <v>CT7-MP025-Xeverus 250cc</v>
          </cell>
        </row>
        <row r="183">
          <cell r="AB183">
            <v>0.002805</v>
          </cell>
        </row>
        <row r="183">
          <cell r="AJ183" t="str">
            <v>散货</v>
          </cell>
        </row>
        <row r="184">
          <cell r="H184" t="str">
            <v>XQ5-ECXTC-WL</v>
          </cell>
        </row>
        <row r="184">
          <cell r="AB184">
            <v>0.04707072</v>
          </cell>
        </row>
        <row r="184">
          <cell r="AJ184" t="str">
            <v>装柜</v>
          </cell>
        </row>
        <row r="185">
          <cell r="H185" t="str">
            <v>XQ5-ECXTC-NL</v>
          </cell>
        </row>
        <row r="185">
          <cell r="AB185">
            <v>0.059638544</v>
          </cell>
        </row>
        <row r="185">
          <cell r="AJ185" t="str">
            <v>装柜</v>
          </cell>
        </row>
        <row r="186">
          <cell r="H186" t="str">
            <v>XQ5-MZC</v>
          </cell>
        </row>
        <row r="186">
          <cell r="AB186">
            <v>0.09002136</v>
          </cell>
        </row>
        <row r="186">
          <cell r="AJ186" t="str">
            <v>装柜</v>
          </cell>
        </row>
        <row r="187">
          <cell r="H187" t="str">
            <v>XQ5-SJTPJ-45*35</v>
          </cell>
        </row>
        <row r="187">
          <cell r="AB187">
            <v>0.042262408</v>
          </cell>
        </row>
        <row r="187">
          <cell r="AJ187" t="str">
            <v>装柜</v>
          </cell>
        </row>
        <row r="188">
          <cell r="H188" t="str">
            <v>XQ5-SWZXQ</v>
          </cell>
        </row>
        <row r="188">
          <cell r="AB188">
            <v>0.036723456</v>
          </cell>
        </row>
        <row r="188">
          <cell r="AJ188" t="str">
            <v>装柜</v>
          </cell>
        </row>
        <row r="189">
          <cell r="H189" t="str">
            <v>XQ5-DWZXQ</v>
          </cell>
        </row>
        <row r="189">
          <cell r="AB189">
            <v>0.0341264</v>
          </cell>
        </row>
        <row r="189">
          <cell r="AJ189" t="str">
            <v>装柜</v>
          </cell>
        </row>
        <row r="190">
          <cell r="H190" t="str">
            <v>XQ5-SWDLDBZXQ</v>
          </cell>
        </row>
        <row r="190">
          <cell r="AB190">
            <v>0.04081504</v>
          </cell>
        </row>
        <row r="190">
          <cell r="AJ190" t="str">
            <v>装柜</v>
          </cell>
        </row>
        <row r="191">
          <cell r="H191" t="str">
            <v>SSDB-XQ5-SYJ</v>
          </cell>
        </row>
        <row r="191">
          <cell r="AB191">
            <v>0.02079</v>
          </cell>
        </row>
        <row r="191">
          <cell r="AJ191" t="e">
            <v>#N/A</v>
          </cell>
        </row>
        <row r="192">
          <cell r="H192" t="str">
            <v>ZD-XQ5-SYJ</v>
          </cell>
        </row>
        <row r="192">
          <cell r="AB192">
            <v>0.0073205</v>
          </cell>
        </row>
        <row r="192">
          <cell r="AJ192" t="str">
            <v>散货</v>
          </cell>
        </row>
        <row r="193">
          <cell r="H193" t="str">
            <v>XQ5-ZH-LC-YEYJ-Rosa</v>
          </cell>
        </row>
        <row r="193">
          <cell r="AB193">
            <v>0</v>
          </cell>
        </row>
        <row r="193">
          <cell r="AJ193" t="str">
            <v>调货</v>
          </cell>
        </row>
        <row r="194">
          <cell r="H194" t="str">
            <v>XQ5-ZH-LC-YEYJ-Azul</v>
          </cell>
        </row>
        <row r="194">
          <cell r="AB194">
            <v>0</v>
          </cell>
        </row>
        <row r="194">
          <cell r="AJ194" t="str">
            <v>调货</v>
          </cell>
        </row>
        <row r="195">
          <cell r="H195" t="str">
            <v>XQ5-ZH-LC-YEYJ-Gris</v>
          </cell>
        </row>
        <row r="195">
          <cell r="AB195">
            <v>0</v>
          </cell>
        </row>
        <row r="195">
          <cell r="AJ195" t="str">
            <v>调货</v>
          </cell>
        </row>
        <row r="196">
          <cell r="H196" t="str">
            <v>XQ5-CT7-TYSCYG-Amarillo</v>
          </cell>
        </row>
        <row r="196">
          <cell r="AB196">
            <v>0.0011172</v>
          </cell>
        </row>
        <row r="196">
          <cell r="AJ196" t="str">
            <v>调货</v>
          </cell>
        </row>
        <row r="197">
          <cell r="H197" t="str">
            <v>XQ5-CT7-TYSCYG-Negro</v>
          </cell>
        </row>
        <row r="197">
          <cell r="AB197">
            <v>0.00117952</v>
          </cell>
        </row>
        <row r="197">
          <cell r="AJ197" t="str">
            <v>调货</v>
          </cell>
        </row>
        <row r="198">
          <cell r="H198" t="str">
            <v>XQ5-CT7-TYSCYG-Gris</v>
          </cell>
        </row>
        <row r="198">
          <cell r="AB198">
            <v>0</v>
          </cell>
        </row>
        <row r="198">
          <cell r="AJ198" t="str">
            <v>调货</v>
          </cell>
        </row>
        <row r="199">
          <cell r="H199" t="str">
            <v>XQ5-CT7-TYSCYG-Azul</v>
          </cell>
        </row>
        <row r="199">
          <cell r="AB199">
            <v>0.001976832</v>
          </cell>
        </row>
        <row r="199">
          <cell r="AJ199" t="str">
            <v>调货</v>
          </cell>
        </row>
        <row r="200">
          <cell r="H200" t="str">
            <v>XQ5-CT7-LTS-Azul</v>
          </cell>
        </row>
        <row r="200">
          <cell r="AB200">
            <v>0</v>
          </cell>
        </row>
        <row r="200">
          <cell r="AJ200" t="str">
            <v>调货</v>
          </cell>
        </row>
        <row r="201">
          <cell r="H201" t="str">
            <v>XQ5-CT7-LTS-Negro</v>
          </cell>
        </row>
        <row r="201">
          <cell r="AB201">
            <v>0</v>
          </cell>
        </row>
        <row r="201">
          <cell r="AJ201" t="str">
            <v>调货</v>
          </cell>
        </row>
        <row r="202">
          <cell r="H202" t="str">
            <v>XQ5-LC-ETXJW5PK-Arco Iris-L</v>
          </cell>
        </row>
        <row r="202">
          <cell r="AB202">
            <v>0.00175584</v>
          </cell>
        </row>
        <row r="202">
          <cell r="AJ202" t="str">
            <v>调货</v>
          </cell>
        </row>
        <row r="203">
          <cell r="H203" t="str">
            <v>XQ5-LC-ETXJW5PK-Arco Iris-XL</v>
          </cell>
        </row>
        <row r="203">
          <cell r="AB203">
            <v>0.001833552</v>
          </cell>
        </row>
        <row r="203">
          <cell r="AJ203" t="str">
            <v>调货</v>
          </cell>
        </row>
        <row r="204">
          <cell r="H204" t="str">
            <v>XQ5-LC-ETXJW5PK-Flor-L</v>
          </cell>
        </row>
        <row r="204">
          <cell r="AB204">
            <v>0.001095984</v>
          </cell>
        </row>
        <row r="204">
          <cell r="AJ204" t="str">
            <v>调货</v>
          </cell>
        </row>
        <row r="205">
          <cell r="H205" t="str">
            <v>XQ5-LC-ETXJW5PK-Flor-XL</v>
          </cell>
        </row>
        <row r="205">
          <cell r="AB205">
            <v>0.001272544</v>
          </cell>
        </row>
        <row r="205">
          <cell r="AJ205" t="str">
            <v>调货</v>
          </cell>
        </row>
        <row r="206">
          <cell r="H206" t="str">
            <v>XQ5-LC-YYFSD-Azul-1PK</v>
          </cell>
        </row>
        <row r="206">
          <cell r="AB206">
            <v>0.00088704</v>
          </cell>
        </row>
        <row r="206">
          <cell r="AJ206" t="str">
            <v>调货</v>
          </cell>
        </row>
        <row r="207">
          <cell r="H207" t="str">
            <v>XQ5-LC-YYFSD-Rosa-1PK</v>
          </cell>
        </row>
        <row r="207">
          <cell r="AB207">
            <v>0.00073728</v>
          </cell>
        </row>
        <row r="207">
          <cell r="AJ207" t="str">
            <v>调货</v>
          </cell>
        </row>
        <row r="208">
          <cell r="H208" t="str">
            <v>XQ5-LC-YYFSD-Azul-2PK</v>
          </cell>
        </row>
        <row r="208">
          <cell r="AB208">
            <v>0.001759968</v>
          </cell>
        </row>
        <row r="208">
          <cell r="AJ208" t="str">
            <v>调货</v>
          </cell>
        </row>
        <row r="209">
          <cell r="H209" t="str">
            <v>XQ5-LC-YYFSD-Rosa-2PK</v>
          </cell>
        </row>
        <row r="209">
          <cell r="AB209">
            <v>0.001801176</v>
          </cell>
        </row>
        <row r="209">
          <cell r="AJ209" t="str">
            <v>调货</v>
          </cell>
        </row>
        <row r="210">
          <cell r="H210" t="str">
            <v>XQ5-LC-SBSNH-Negro-12</v>
          </cell>
        </row>
        <row r="210">
          <cell r="AB210">
            <v>0.007997328</v>
          </cell>
        </row>
        <row r="210">
          <cell r="AJ210" t="str">
            <v>调货</v>
          </cell>
        </row>
        <row r="212">
          <cell r="H212" t="str">
            <v>XQ5-QP001-1137328464</v>
          </cell>
        </row>
        <row r="212">
          <cell r="AB212">
            <v>0.0009</v>
          </cell>
        </row>
        <row r="212">
          <cell r="AJ212" t="str">
            <v>散货</v>
          </cell>
        </row>
        <row r="213">
          <cell r="H213" t="str">
            <v>XQ5-QP002-4M519A810AA</v>
          </cell>
        </row>
        <row r="213">
          <cell r="AB213">
            <v>0.0009</v>
          </cell>
        </row>
        <row r="213">
          <cell r="AJ213" t="str">
            <v>散货</v>
          </cell>
        </row>
        <row r="214">
          <cell r="H214" t="str">
            <v>XQ5-QP003-1137328365</v>
          </cell>
        </row>
        <row r="214">
          <cell r="AB214">
            <v>0.00144</v>
          </cell>
        </row>
        <row r="214">
          <cell r="AJ214" t="str">
            <v>散货</v>
          </cell>
        </row>
        <row r="215">
          <cell r="H215" t="str">
            <v>XQ5-QP004-940009402</v>
          </cell>
        </row>
        <row r="215">
          <cell r="AB215">
            <v>0.0009</v>
          </cell>
        </row>
        <row r="215">
          <cell r="AJ215" t="str">
            <v>散货</v>
          </cell>
        </row>
        <row r="216">
          <cell r="H216" t="str">
            <v>XQ5-QP005-1137328617</v>
          </cell>
        </row>
        <row r="216">
          <cell r="AB216">
            <v>0.0009</v>
          </cell>
        </row>
        <row r="216">
          <cell r="AJ216" t="str">
            <v>散货</v>
          </cell>
        </row>
        <row r="217">
          <cell r="H217" t="str">
            <v>XQ5-QP006-25554-3DN0A</v>
          </cell>
        </row>
        <row r="217">
          <cell r="AB217">
            <v>0.00232</v>
          </cell>
        </row>
        <row r="217">
          <cell r="AJ217" t="str">
            <v>散货</v>
          </cell>
        </row>
        <row r="218">
          <cell r="H218" t="str">
            <v>XQ5-QP007-5156106AF</v>
          </cell>
        </row>
        <row r="218">
          <cell r="AB218">
            <v>0.00232</v>
          </cell>
        </row>
        <row r="218">
          <cell r="AJ218" t="str">
            <v>散货</v>
          </cell>
        </row>
        <row r="219">
          <cell r="H219" t="str">
            <v>XQ5-QP008-25567-ET225</v>
          </cell>
        </row>
        <row r="219">
          <cell r="AB219">
            <v>0.00232</v>
          </cell>
        </row>
        <row r="219">
          <cell r="AJ219" t="str">
            <v>散货</v>
          </cell>
        </row>
        <row r="220">
          <cell r="H220" t="str">
            <v>XQ5-QP009-84306-48030</v>
          </cell>
        </row>
        <row r="220">
          <cell r="AB220">
            <v>0.00232</v>
          </cell>
        </row>
        <row r="220">
          <cell r="AJ220" t="str">
            <v>散货</v>
          </cell>
        </row>
        <row r="221">
          <cell r="H221" t="str">
            <v>XQ5-QP010-05156106AG-S</v>
          </cell>
        </row>
        <row r="221">
          <cell r="AB221">
            <v>0.00232</v>
          </cell>
        </row>
        <row r="221">
          <cell r="AJ221" t="str">
            <v>散货</v>
          </cell>
        </row>
        <row r="222">
          <cell r="H222" t="str">
            <v>XQ5-QP011-94529531</v>
          </cell>
        </row>
        <row r="222">
          <cell r="AB222">
            <v>0.00232</v>
          </cell>
        </row>
        <row r="222">
          <cell r="AJ222" t="str">
            <v>散货</v>
          </cell>
        </row>
        <row r="223">
          <cell r="H223" t="str">
            <v>XQ5-QP012-93490-3Q120</v>
          </cell>
        </row>
        <row r="223">
          <cell r="AB223">
            <v>0.00232</v>
          </cell>
        </row>
        <row r="223">
          <cell r="AJ223" t="str">
            <v>散货</v>
          </cell>
        </row>
        <row r="224">
          <cell r="H224" t="str">
            <v>XQ5-QP013-B5567-JM50AN</v>
          </cell>
        </row>
        <row r="224">
          <cell r="AB224">
            <v>0.00232</v>
          </cell>
        </row>
        <row r="224">
          <cell r="AJ224" t="str">
            <v>散货</v>
          </cell>
        </row>
        <row r="225">
          <cell r="H225" t="str">
            <v>XQ5-QP014-84306-06140</v>
          </cell>
        </row>
        <row r="225">
          <cell r="AB225">
            <v>0.00232</v>
          </cell>
        </row>
        <row r="225">
          <cell r="AJ225" t="str">
            <v>散货</v>
          </cell>
        </row>
        <row r="226">
          <cell r="H226" t="str">
            <v>XQ5-QP015-26685762</v>
          </cell>
        </row>
        <row r="226">
          <cell r="AB226">
            <v>0.00232</v>
          </cell>
        </row>
        <row r="226">
          <cell r="AJ226" t="str">
            <v>散货</v>
          </cell>
        </row>
        <row r="227">
          <cell r="H227" t="str">
            <v>XQ5-QP020-25554-3TS0A</v>
          </cell>
        </row>
        <row r="227">
          <cell r="AB227">
            <v>0.001328125</v>
          </cell>
        </row>
        <row r="227">
          <cell r="AJ227" t="str">
            <v>散货</v>
          </cell>
        </row>
        <row r="228">
          <cell r="H228" t="str">
            <v>XQ5-QP021-84306-22010</v>
          </cell>
        </row>
        <row r="228">
          <cell r="AB228">
            <v>0.001328125</v>
          </cell>
        </row>
        <row r="228">
          <cell r="AJ228" t="str">
            <v>散货</v>
          </cell>
        </row>
        <row r="229">
          <cell r="H229" t="str">
            <v>XQ5-QP022-BP4K-66-CS0</v>
          </cell>
        </row>
        <row r="229">
          <cell r="AB229">
            <v>0.001328125</v>
          </cell>
        </row>
        <row r="229">
          <cell r="AJ229" t="str">
            <v>散货</v>
          </cell>
        </row>
        <row r="230">
          <cell r="H230" t="str">
            <v>XQ5-QP016-55503109</v>
          </cell>
        </row>
        <row r="230">
          <cell r="AB230">
            <v>0.003084875</v>
          </cell>
        </row>
        <row r="230">
          <cell r="AJ230" t="str">
            <v>散货</v>
          </cell>
        </row>
        <row r="231">
          <cell r="H231" t="str">
            <v>XQ5-QP017-12704586</v>
          </cell>
        </row>
        <row r="231">
          <cell r="AB231">
            <v>0.00264328</v>
          </cell>
        </row>
        <row r="231">
          <cell r="AJ231" t="str">
            <v>散货</v>
          </cell>
        </row>
        <row r="232">
          <cell r="H232" t="str">
            <v>XQ5-QP018-12686657</v>
          </cell>
        </row>
        <row r="232">
          <cell r="AB232">
            <v>0.00264328</v>
          </cell>
        </row>
        <row r="232">
          <cell r="AJ232" t="str">
            <v>散货</v>
          </cell>
        </row>
        <row r="233">
          <cell r="H233" t="str">
            <v>XQ5-QP019-07K-145100C</v>
          </cell>
        </row>
        <row r="233">
          <cell r="AB233">
            <v>0.003084875</v>
          </cell>
        </row>
        <row r="233">
          <cell r="AJ233" t="str">
            <v>散货</v>
          </cell>
        </row>
        <row r="234">
          <cell r="H234" t="str">
            <v>XQ5-QP023-A1137</v>
          </cell>
        </row>
        <row r="234">
          <cell r="AB234">
            <v>0.0111</v>
          </cell>
        </row>
        <row r="234">
          <cell r="AJ234" t="str">
            <v>散货</v>
          </cell>
        </row>
        <row r="235">
          <cell r="H235" t="str">
            <v>XQ5-QP024-101210-1650</v>
          </cell>
        </row>
        <row r="235">
          <cell r="AB235">
            <v>0.0111</v>
          </cell>
        </row>
        <row r="235">
          <cell r="AJ235" t="str">
            <v>散货</v>
          </cell>
        </row>
        <row r="236">
          <cell r="H236" t="str">
            <v>XQ5-QP025-020911023</v>
          </cell>
        </row>
        <row r="236">
          <cell r="AB236">
            <v>0.006552</v>
          </cell>
        </row>
        <row r="236">
          <cell r="AJ236" t="str">
            <v>散货</v>
          </cell>
        </row>
        <row r="237">
          <cell r="H237" t="str">
            <v>XQ5-QP026-96469963</v>
          </cell>
        </row>
        <row r="237">
          <cell r="AB237">
            <v>0.006552</v>
          </cell>
        </row>
        <row r="237">
          <cell r="AJ237" t="str">
            <v>散货</v>
          </cell>
        </row>
        <row r="238">
          <cell r="H238" t="str">
            <v>XQ5-QP027-0001107402</v>
          </cell>
        </row>
        <row r="238">
          <cell r="AB238">
            <v>0.006552</v>
          </cell>
        </row>
        <row r="238">
          <cell r="AJ238" t="str">
            <v>散货</v>
          </cell>
        </row>
        <row r="239">
          <cell r="H239" t="str">
            <v>XQ5-QP028-S114-901A</v>
          </cell>
        </row>
        <row r="239">
          <cell r="AB239">
            <v>0.006552</v>
          </cell>
        </row>
        <row r="239">
          <cell r="AJ239" t="str">
            <v>散货</v>
          </cell>
        </row>
        <row r="240">
          <cell r="H240" t="str">
            <v>XQ5-QP029-S114-769</v>
          </cell>
        </row>
        <row r="240">
          <cell r="AB240">
            <v>0.006552</v>
          </cell>
        </row>
        <row r="240">
          <cell r="AJ240" t="str">
            <v>散货</v>
          </cell>
        </row>
        <row r="241">
          <cell r="H241" t="str">
            <v>XQ5-QP030-8000727</v>
          </cell>
        </row>
        <row r="241">
          <cell r="AB241">
            <v>0.006552</v>
          </cell>
        </row>
        <row r="241">
          <cell r="AJ241" t="str">
            <v>散货</v>
          </cell>
        </row>
        <row r="242">
          <cell r="H242" t="str">
            <v>XQ5-QP031-597080</v>
          </cell>
        </row>
        <row r="242">
          <cell r="AB242">
            <v>0.007565</v>
          </cell>
        </row>
        <row r="242">
          <cell r="AJ242" t="str">
            <v>散货</v>
          </cell>
        </row>
        <row r="243">
          <cell r="H243" t="str">
            <v>XQ5-QP032-224338H315</v>
          </cell>
        </row>
        <row r="243">
          <cell r="AB243">
            <v>0.001445</v>
          </cell>
        </row>
        <row r="243">
          <cell r="AJ243" t="str">
            <v>散货</v>
          </cell>
        </row>
        <row r="244">
          <cell r="H244" t="str">
            <v>XQ5-QP033-1L2U12029AA</v>
          </cell>
        </row>
        <row r="244">
          <cell r="AB244">
            <v>0.001445</v>
          </cell>
        </row>
        <row r="244">
          <cell r="AJ244" t="str">
            <v>散货</v>
          </cell>
        </row>
        <row r="245">
          <cell r="H245" t="str">
            <v>XQ5-QP034-12655421</v>
          </cell>
        </row>
        <row r="245">
          <cell r="AB245">
            <v>0.000748</v>
          </cell>
        </row>
        <row r="245">
          <cell r="AJ245" t="str">
            <v>散货</v>
          </cell>
        </row>
        <row r="246">
          <cell r="H246" t="str">
            <v>XQ5-QP035-23796-ET00A</v>
          </cell>
        </row>
        <row r="246">
          <cell r="AB246">
            <v>0.000504</v>
          </cell>
        </row>
        <row r="246">
          <cell r="AJ246" t="str">
            <v>散货</v>
          </cell>
        </row>
        <row r="247">
          <cell r="H247" t="str">
            <v>XQ5-QP036-15810-RAA-A01</v>
          </cell>
        </row>
        <row r="247">
          <cell r="AB247">
            <v>0.00054</v>
          </cell>
        </row>
        <row r="247">
          <cell r="AJ247" t="str">
            <v>散货</v>
          </cell>
        </row>
        <row r="248">
          <cell r="H248" t="str">
            <v>XQ5-QP037-904501HL0A</v>
          </cell>
        </row>
        <row r="248">
          <cell r="AB248">
            <v>0.0012</v>
          </cell>
        </row>
        <row r="248">
          <cell r="AJ248" t="str">
            <v>散货</v>
          </cell>
        </row>
        <row r="249">
          <cell r="H249" t="str">
            <v>XQ5-QP038-377827550C</v>
          </cell>
        </row>
        <row r="249">
          <cell r="AB249">
            <v>0.0012</v>
          </cell>
        </row>
        <row r="249">
          <cell r="AJ249" t="str">
            <v>散货</v>
          </cell>
        </row>
        <row r="250">
          <cell r="H250" t="str">
            <v>XQ5-QP039-3B5-827-550A</v>
          </cell>
        </row>
        <row r="250">
          <cell r="AB250">
            <v>0.0012</v>
          </cell>
        </row>
        <row r="250">
          <cell r="AJ250" t="str">
            <v>散货</v>
          </cell>
        </row>
        <row r="251">
          <cell r="H251" t="str">
            <v>XQ5-QP040-6L6-827-550B</v>
          </cell>
        </row>
        <row r="251">
          <cell r="AB251">
            <v>0.0012</v>
          </cell>
        </row>
        <row r="251">
          <cell r="AJ251" t="str">
            <v>散货</v>
          </cell>
        </row>
        <row r="252">
          <cell r="H252" t="str">
            <v>XQ5-QP041</v>
          </cell>
        </row>
        <row r="252">
          <cell r="AB252">
            <v>0.001672</v>
          </cell>
        </row>
        <row r="252">
          <cell r="AJ252" t="str">
            <v>散货</v>
          </cell>
        </row>
        <row r="253">
          <cell r="H253" t="str">
            <v>XQ5-QP042</v>
          </cell>
        </row>
        <row r="253">
          <cell r="AB253">
            <v>0.000224</v>
          </cell>
        </row>
        <row r="253">
          <cell r="AJ253" t="str">
            <v>散货</v>
          </cell>
        </row>
        <row r="254">
          <cell r="H254" t="str">
            <v>XQ5-QP043</v>
          </cell>
        </row>
        <row r="254">
          <cell r="AB254">
            <v>0.00012</v>
          </cell>
        </row>
        <row r="254">
          <cell r="AJ254" t="str">
            <v>散货</v>
          </cell>
        </row>
        <row r="255">
          <cell r="H255" t="str">
            <v>XQ5-QP044</v>
          </cell>
        </row>
        <row r="255">
          <cell r="AB255">
            <v>0.00025281</v>
          </cell>
        </row>
        <row r="255">
          <cell r="AJ255" t="str">
            <v>散货</v>
          </cell>
        </row>
        <row r="256">
          <cell r="H256" t="str">
            <v>XQ5-QP045</v>
          </cell>
        </row>
        <row r="256">
          <cell r="AB256">
            <v>0.000432</v>
          </cell>
        </row>
        <row r="256">
          <cell r="AJ256" t="str">
            <v>散货</v>
          </cell>
        </row>
        <row r="257">
          <cell r="H257" t="str">
            <v>XQ5-QP046</v>
          </cell>
        </row>
        <row r="257">
          <cell r="AB257">
            <v>0.0002075</v>
          </cell>
        </row>
        <row r="257">
          <cell r="AJ257" t="str">
            <v>散货</v>
          </cell>
        </row>
        <row r="258">
          <cell r="H258" t="str">
            <v>XQ5-QP047</v>
          </cell>
        </row>
        <row r="258">
          <cell r="AB258">
            <v>3.2e-5</v>
          </cell>
        </row>
        <row r="258">
          <cell r="AJ258" t="str">
            <v>散货</v>
          </cell>
        </row>
        <row r="259">
          <cell r="H259" t="str">
            <v>XQ5-QP048</v>
          </cell>
        </row>
        <row r="259">
          <cell r="AB259">
            <v>0.000738675</v>
          </cell>
        </row>
        <row r="259">
          <cell r="AJ259" t="str">
            <v>散货</v>
          </cell>
        </row>
        <row r="260">
          <cell r="H260" t="str">
            <v>XQ5-QP049</v>
          </cell>
        </row>
        <row r="260">
          <cell r="AB260">
            <v>0.000756</v>
          </cell>
        </row>
        <row r="260">
          <cell r="AJ260" t="str">
            <v>散货</v>
          </cell>
        </row>
        <row r="261">
          <cell r="H261" t="str">
            <v>XQ5-QP050</v>
          </cell>
        </row>
        <row r="261">
          <cell r="AB261">
            <v>0.0005742</v>
          </cell>
        </row>
        <row r="261">
          <cell r="AJ261" t="str">
            <v>散货</v>
          </cell>
        </row>
        <row r="262">
          <cell r="H262" t="str">
            <v>XQ5-QP051</v>
          </cell>
        </row>
        <row r="262">
          <cell r="AB262">
            <v>4.416e-5</v>
          </cell>
        </row>
        <row r="262">
          <cell r="AJ262" t="str">
            <v>散货</v>
          </cell>
        </row>
        <row r="263">
          <cell r="H263" t="str">
            <v>XQ5-QP052</v>
          </cell>
        </row>
        <row r="263">
          <cell r="AB263">
            <v>9.6e-5</v>
          </cell>
        </row>
        <row r="263">
          <cell r="AJ263" t="str">
            <v>散货</v>
          </cell>
        </row>
        <row r="264">
          <cell r="H264" t="str">
            <v>XQ5-QP053</v>
          </cell>
        </row>
        <row r="264">
          <cell r="AB264">
            <v>0.00033</v>
          </cell>
        </row>
        <row r="264">
          <cell r="AJ264" t="str">
            <v>散货</v>
          </cell>
        </row>
        <row r="265">
          <cell r="H265" t="str">
            <v>XQ5-QP054</v>
          </cell>
        </row>
        <row r="265">
          <cell r="AB265">
            <v>0.000295625</v>
          </cell>
        </row>
        <row r="265">
          <cell r="AJ265" t="str">
            <v>散货</v>
          </cell>
        </row>
        <row r="266">
          <cell r="H266" t="str">
            <v>XQ5-QP055</v>
          </cell>
        </row>
        <row r="266">
          <cell r="AB266">
            <v>0.0006426</v>
          </cell>
        </row>
        <row r="266">
          <cell r="AJ266" t="str">
            <v>散货</v>
          </cell>
        </row>
        <row r="267">
          <cell r="H267" t="str">
            <v>XQ5-QP056</v>
          </cell>
        </row>
        <row r="267">
          <cell r="AB267">
            <v>0.001</v>
          </cell>
        </row>
        <row r="267">
          <cell r="AJ267" t="str">
            <v>散货</v>
          </cell>
        </row>
        <row r="268">
          <cell r="H268" t="str">
            <v>XQ5-QP057</v>
          </cell>
        </row>
        <row r="268">
          <cell r="AB268">
            <v>2.625e-5</v>
          </cell>
        </row>
        <row r="268">
          <cell r="AJ268" t="str">
            <v>散货</v>
          </cell>
        </row>
        <row r="269">
          <cell r="H269" t="str">
            <v>XQ5-QP058</v>
          </cell>
        </row>
        <row r="269">
          <cell r="AB269">
            <v>6.7048e-5</v>
          </cell>
        </row>
        <row r="269">
          <cell r="AJ269" t="str">
            <v>散货</v>
          </cell>
        </row>
        <row r="270">
          <cell r="H270" t="str">
            <v>XQ5-QP059</v>
          </cell>
        </row>
        <row r="270">
          <cell r="AB270">
            <v>0.00175</v>
          </cell>
        </row>
        <row r="270">
          <cell r="AJ270" t="str">
            <v>散货</v>
          </cell>
        </row>
        <row r="272">
          <cell r="H272" t="str">
            <v>XQ5-YL001</v>
          </cell>
        </row>
        <row r="272">
          <cell r="AB272">
            <v>0.079212</v>
          </cell>
        </row>
        <row r="272">
          <cell r="AJ272" t="str">
            <v>装柜</v>
          </cell>
        </row>
        <row r="273">
          <cell r="H273" t="str">
            <v>XQ5-YL002</v>
          </cell>
        </row>
        <row r="273">
          <cell r="AB273">
            <v>0.069264</v>
          </cell>
        </row>
        <row r="273">
          <cell r="AJ273" t="str">
            <v>装柜</v>
          </cell>
        </row>
        <row r="274">
          <cell r="H274" t="str">
            <v>XQ5-YL003</v>
          </cell>
        </row>
        <row r="274">
          <cell r="AB274">
            <v>0.041184</v>
          </cell>
        </row>
        <row r="274">
          <cell r="AJ274" t="str">
            <v>装柜</v>
          </cell>
        </row>
        <row r="275">
          <cell r="H275" t="str">
            <v>XQ5-YL004</v>
          </cell>
        </row>
        <row r="275">
          <cell r="AB275">
            <v>0.032637</v>
          </cell>
        </row>
        <row r="275">
          <cell r="AJ275" t="str">
            <v>装柜</v>
          </cell>
        </row>
        <row r="276">
          <cell r="H276" t="str">
            <v>XQ5-YL005</v>
          </cell>
        </row>
        <row r="276">
          <cell r="AB276">
            <v>0.1495</v>
          </cell>
        </row>
        <row r="276">
          <cell r="AJ276" t="str">
            <v>装柜</v>
          </cell>
        </row>
        <row r="277">
          <cell r="AB277">
            <v>0</v>
          </cell>
        </row>
        <row r="277">
          <cell r="AJ277" t="str">
            <v>装柜</v>
          </cell>
        </row>
        <row r="278">
          <cell r="H278" t="str">
            <v>XQ5-YL007</v>
          </cell>
        </row>
        <row r="278">
          <cell r="AB278">
            <v>0.101813</v>
          </cell>
        </row>
        <row r="278">
          <cell r="AJ278" t="str">
            <v>装柜</v>
          </cell>
        </row>
        <row r="279">
          <cell r="H279" t="str">
            <v>XQ5-YL008</v>
          </cell>
        </row>
        <row r="279">
          <cell r="AB279">
            <v>0.040788</v>
          </cell>
        </row>
        <row r="279">
          <cell r="AJ279" t="str">
            <v>装柜</v>
          </cell>
        </row>
        <row r="280">
          <cell r="H280" t="str">
            <v>XQ5-YL009</v>
          </cell>
        </row>
        <row r="280">
          <cell r="AB280">
            <v>0.095046</v>
          </cell>
        </row>
        <row r="280">
          <cell r="AJ280" t="str">
            <v>装柜</v>
          </cell>
        </row>
        <row r="281">
          <cell r="H281" t="str">
            <v>XQ5-YL010</v>
          </cell>
        </row>
        <row r="281">
          <cell r="AB281">
            <v>0.039326</v>
          </cell>
        </row>
        <row r="281">
          <cell r="AJ281" t="str">
            <v>装柜</v>
          </cell>
        </row>
        <row r="282">
          <cell r="H282" t="str">
            <v>XQ5-YL011</v>
          </cell>
        </row>
        <row r="282">
          <cell r="AB282">
            <v>0.075411</v>
          </cell>
        </row>
        <row r="282">
          <cell r="AJ282" t="str">
            <v>装柜</v>
          </cell>
        </row>
        <row r="283">
          <cell r="H283" t="str">
            <v>XQ5-YL012</v>
          </cell>
        </row>
        <row r="283">
          <cell r="AB283">
            <v>0.075276</v>
          </cell>
        </row>
        <row r="283">
          <cell r="AJ283" t="str">
            <v>装柜</v>
          </cell>
        </row>
        <row r="284">
          <cell r="H284" t="str">
            <v>XQ5-YL013</v>
          </cell>
        </row>
        <row r="284">
          <cell r="AB284">
            <v>0.121023</v>
          </cell>
        </row>
        <row r="284">
          <cell r="AJ284" t="str">
            <v>装柜</v>
          </cell>
        </row>
        <row r="285">
          <cell r="AB285">
            <v>0</v>
          </cell>
        </row>
        <row r="285">
          <cell r="AJ285" t="str">
            <v>装柜</v>
          </cell>
        </row>
        <row r="286">
          <cell r="H286" t="str">
            <v>XQ5-YL015</v>
          </cell>
        </row>
        <row r="286">
          <cell r="AB286">
            <v>0.04079359375</v>
          </cell>
        </row>
        <row r="286">
          <cell r="AJ286" t="str">
            <v>装柜</v>
          </cell>
        </row>
        <row r="287">
          <cell r="H287" t="str">
            <v>XQ5-YL016</v>
          </cell>
        </row>
        <row r="287">
          <cell r="AB287">
            <v>0.045801875</v>
          </cell>
        </row>
        <row r="287">
          <cell r="AJ287" t="str">
            <v>装柜</v>
          </cell>
        </row>
        <row r="288">
          <cell r="H288" t="str">
            <v>XQ5-YL017</v>
          </cell>
        </row>
        <row r="288">
          <cell r="AB288">
            <v>0.0776684375</v>
          </cell>
        </row>
        <row r="288">
          <cell r="AJ288" t="str">
            <v>装柜</v>
          </cell>
        </row>
        <row r="289">
          <cell r="H289" t="str">
            <v>XQ5-YL018</v>
          </cell>
        </row>
        <row r="289">
          <cell r="AB289">
            <v>0.08243625</v>
          </cell>
        </row>
        <row r="289">
          <cell r="AJ289" t="str">
            <v>装柜</v>
          </cell>
        </row>
        <row r="290">
          <cell r="H290" t="str">
            <v>XQ5-YL019</v>
          </cell>
        </row>
        <row r="290">
          <cell r="AB290">
            <v>0.0883513125</v>
          </cell>
        </row>
        <row r="290">
          <cell r="AJ290" t="str">
            <v>装柜</v>
          </cell>
        </row>
        <row r="291">
          <cell r="H291" t="str">
            <v>XQ5-YL020</v>
          </cell>
        </row>
        <row r="291">
          <cell r="AB291">
            <v>0.04024190625</v>
          </cell>
        </row>
        <row r="291">
          <cell r="AJ291" t="str">
            <v>装柜</v>
          </cell>
        </row>
        <row r="292">
          <cell r="AB292">
            <v>0.116736</v>
          </cell>
        </row>
        <row r="292">
          <cell r="AJ292" t="str">
            <v>装柜</v>
          </cell>
        </row>
        <row r="293">
          <cell r="H293" t="str">
            <v>XQ5-YL022</v>
          </cell>
        </row>
        <row r="293">
          <cell r="AB293">
            <v>0.040788</v>
          </cell>
        </row>
        <row r="293">
          <cell r="AJ293" t="str">
            <v>装柜</v>
          </cell>
        </row>
        <row r="294">
          <cell r="H294" t="str">
            <v>XQ5-YL023</v>
          </cell>
        </row>
        <row r="294">
          <cell r="AB294">
            <v>0.053136</v>
          </cell>
        </row>
        <row r="294">
          <cell r="AJ294" t="str">
            <v>装柜</v>
          </cell>
        </row>
        <row r="295">
          <cell r="H295" t="str">
            <v>XQ5-YL024</v>
          </cell>
        </row>
        <row r="295">
          <cell r="AB295">
            <v>0.01166</v>
          </cell>
        </row>
        <row r="295">
          <cell r="AJ295" t="str">
            <v>装柜</v>
          </cell>
        </row>
        <row r="296">
          <cell r="H296" t="str">
            <v>XQ5-YL025</v>
          </cell>
        </row>
        <row r="296">
          <cell r="AB296">
            <v>0.003773</v>
          </cell>
        </row>
        <row r="296">
          <cell r="AJ296" t="str">
            <v>装柜</v>
          </cell>
        </row>
        <row r="297">
          <cell r="H297" t="str">
            <v>XQ5-YL026</v>
          </cell>
        </row>
        <row r="297">
          <cell r="AB297">
            <v>0.03904</v>
          </cell>
        </row>
        <row r="297">
          <cell r="AJ297" t="str">
            <v>装柜</v>
          </cell>
        </row>
        <row r="298">
          <cell r="H298" t="str">
            <v>XQ5-YL027</v>
          </cell>
        </row>
        <row r="298">
          <cell r="AB298">
            <v>0.00035</v>
          </cell>
        </row>
        <row r="298">
          <cell r="AJ298" t="str">
            <v>散货</v>
          </cell>
        </row>
        <row r="299">
          <cell r="H299" t="str">
            <v>XQ5-YL028</v>
          </cell>
        </row>
        <row r="299">
          <cell r="AB299">
            <v>0.000126</v>
          </cell>
        </row>
        <row r="299">
          <cell r="AJ299" t="str">
            <v>散货</v>
          </cell>
        </row>
        <row r="300">
          <cell r="H300" t="str">
            <v>XQ5-YL029</v>
          </cell>
        </row>
        <row r="300">
          <cell r="AB300">
            <v>0</v>
          </cell>
        </row>
        <row r="300">
          <cell r="AJ300" t="str">
            <v>散货</v>
          </cell>
        </row>
        <row r="301">
          <cell r="AB301">
            <v>0.0001625</v>
          </cell>
        </row>
        <row r="302">
          <cell r="H302" t="str">
            <v>XQ5-YL030</v>
          </cell>
        </row>
        <row r="302">
          <cell r="AB302">
            <v>0.00053125</v>
          </cell>
        </row>
        <row r="302">
          <cell r="AJ302" t="str">
            <v>散货</v>
          </cell>
        </row>
        <row r="303">
          <cell r="H303" t="str">
            <v>XQ5-YL031</v>
          </cell>
        </row>
        <row r="303">
          <cell r="AB303">
            <v>0.000988</v>
          </cell>
        </row>
        <row r="303">
          <cell r="AJ303" t="str">
            <v>散货</v>
          </cell>
        </row>
        <row r="304">
          <cell r="H304" t="str">
            <v>XQ5-YL032</v>
          </cell>
        </row>
        <row r="304">
          <cell r="AB304">
            <v>0.001935</v>
          </cell>
        </row>
        <row r="304">
          <cell r="AJ304" t="str">
            <v>散货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工业配件"/>
      <sheetName val="运费表"/>
      <sheetName val="WpsReserved_CellImgList"/>
    </sheetNames>
    <sheetDataSet>
      <sheetData sheetId="0">
        <row r="1">
          <cell r="L1" t="str">
            <v>抓取时间</v>
          </cell>
        </row>
        <row r="1">
          <cell r="AA1" t="str">
            <v>产品名（OE码）</v>
          </cell>
        </row>
        <row r="4">
          <cell r="L4">
            <v>45958</v>
          </cell>
        </row>
        <row r="5">
          <cell r="L5">
            <v>45958</v>
          </cell>
        </row>
        <row r="7">
          <cell r="L7">
            <v>45998</v>
          </cell>
        </row>
        <row r="8">
          <cell r="L8">
            <v>45998</v>
          </cell>
        </row>
        <row r="9">
          <cell r="L9">
            <v>45998</v>
          </cell>
        </row>
        <row r="10">
          <cell r="L10">
            <v>45998</v>
          </cell>
        </row>
        <row r="11">
          <cell r="L11">
            <v>45998</v>
          </cell>
        </row>
        <row r="12">
          <cell r="L12">
            <v>45998</v>
          </cell>
        </row>
        <row r="13">
          <cell r="L13">
            <v>45998</v>
          </cell>
        </row>
        <row r="14">
          <cell r="L14">
            <v>45998</v>
          </cell>
        </row>
        <row r="15">
          <cell r="L15">
            <v>45998</v>
          </cell>
        </row>
        <row r="16">
          <cell r="L16">
            <v>45998</v>
          </cell>
        </row>
        <row r="17">
          <cell r="L17">
            <v>45998</v>
          </cell>
        </row>
        <row r="20">
          <cell r="L20">
            <v>45998</v>
          </cell>
        </row>
        <row r="21">
          <cell r="L21">
            <v>46001</v>
          </cell>
        </row>
        <row r="22">
          <cell r="L22">
            <v>46001</v>
          </cell>
        </row>
        <row r="23">
          <cell r="L23">
            <v>46001</v>
          </cell>
        </row>
        <row r="24">
          <cell r="L24">
            <v>46001</v>
          </cell>
        </row>
        <row r="25">
          <cell r="L25">
            <v>46001</v>
          </cell>
        </row>
        <row r="26">
          <cell r="L26">
            <v>46001</v>
          </cell>
        </row>
        <row r="27">
          <cell r="L27">
            <v>46001</v>
          </cell>
        </row>
        <row r="28">
          <cell r="L28">
            <v>46001</v>
          </cell>
        </row>
        <row r="29">
          <cell r="L29">
            <v>46001</v>
          </cell>
        </row>
        <row r="30">
          <cell r="L30">
            <v>46001</v>
          </cell>
        </row>
        <row r="31">
          <cell r="L31">
            <v>46001</v>
          </cell>
        </row>
        <row r="32">
          <cell r="L32">
            <v>46001</v>
          </cell>
        </row>
        <row r="33">
          <cell r="L33">
            <v>46001</v>
          </cell>
        </row>
        <row r="34">
          <cell r="L34">
            <v>46001</v>
          </cell>
        </row>
        <row r="35">
          <cell r="L35">
            <v>46001</v>
          </cell>
        </row>
        <row r="37">
          <cell r="L37">
            <v>46001</v>
          </cell>
        </row>
        <row r="38">
          <cell r="L38">
            <v>46001</v>
          </cell>
        </row>
        <row r="39">
          <cell r="L39">
            <v>46001</v>
          </cell>
        </row>
        <row r="40">
          <cell r="L40">
            <v>46001</v>
          </cell>
        </row>
        <row r="41">
          <cell r="L41">
            <v>46001</v>
          </cell>
        </row>
        <row r="42">
          <cell r="L42">
            <v>46001</v>
          </cell>
        </row>
        <row r="43">
          <cell r="L43">
            <v>46001</v>
          </cell>
        </row>
        <row r="44">
          <cell r="L44">
            <v>46001</v>
          </cell>
        </row>
        <row r="45">
          <cell r="L45">
            <v>46001</v>
          </cell>
        </row>
        <row r="46">
          <cell r="L46">
            <v>46001</v>
          </cell>
        </row>
        <row r="47">
          <cell r="L47">
            <v>46001</v>
          </cell>
        </row>
        <row r="48">
          <cell r="L48">
            <v>46001</v>
          </cell>
        </row>
        <row r="49">
          <cell r="L49">
            <v>46001</v>
          </cell>
        </row>
        <row r="50">
          <cell r="L50">
            <v>46001</v>
          </cell>
        </row>
        <row r="51">
          <cell r="L51">
            <v>46001</v>
          </cell>
        </row>
        <row r="52">
          <cell r="L52">
            <v>46001</v>
          </cell>
        </row>
        <row r="53">
          <cell r="L53">
            <v>46001</v>
          </cell>
        </row>
        <row r="54">
          <cell r="L54">
            <v>46001</v>
          </cell>
        </row>
        <row r="55">
          <cell r="L55">
            <v>46001</v>
          </cell>
        </row>
        <row r="56">
          <cell r="L56">
            <v>46001</v>
          </cell>
        </row>
        <row r="57">
          <cell r="L57">
            <v>46001</v>
          </cell>
        </row>
        <row r="58">
          <cell r="L58">
            <v>46001</v>
          </cell>
        </row>
        <row r="59">
          <cell r="L59">
            <v>46001</v>
          </cell>
        </row>
        <row r="60">
          <cell r="L60">
            <v>46001</v>
          </cell>
        </row>
        <row r="61">
          <cell r="L61">
            <v>46001</v>
          </cell>
        </row>
        <row r="62">
          <cell r="L62">
            <v>46001</v>
          </cell>
        </row>
        <row r="63">
          <cell r="L63">
            <v>46001</v>
          </cell>
        </row>
        <row r="64">
          <cell r="L64">
            <v>46001</v>
          </cell>
        </row>
        <row r="65">
          <cell r="L65">
            <v>46001</v>
          </cell>
        </row>
        <row r="66">
          <cell r="L66">
            <v>46001</v>
          </cell>
        </row>
        <row r="67">
          <cell r="L67">
            <v>46002</v>
          </cell>
        </row>
        <row r="68">
          <cell r="L68">
            <v>46002</v>
          </cell>
        </row>
        <row r="69">
          <cell r="L69">
            <v>46002</v>
          </cell>
        </row>
        <row r="70">
          <cell r="L70">
            <v>46002</v>
          </cell>
        </row>
        <row r="71">
          <cell r="L71">
            <v>46002</v>
          </cell>
        </row>
        <row r="72">
          <cell r="L72">
            <v>46002</v>
          </cell>
        </row>
        <row r="73">
          <cell r="L73">
            <v>46002</v>
          </cell>
        </row>
        <row r="74">
          <cell r="L74">
            <v>46002</v>
          </cell>
        </row>
        <row r="75">
          <cell r="L75">
            <v>46002</v>
          </cell>
        </row>
        <row r="76">
          <cell r="L76">
            <v>46002</v>
          </cell>
        </row>
        <row r="77">
          <cell r="L77">
            <v>46002</v>
          </cell>
        </row>
        <row r="78">
          <cell r="L78">
            <v>46002</v>
          </cell>
        </row>
        <row r="79">
          <cell r="L79">
            <v>46002</v>
          </cell>
        </row>
        <row r="80">
          <cell r="L80">
            <v>46002</v>
          </cell>
        </row>
        <row r="81">
          <cell r="L81">
            <v>46002</v>
          </cell>
        </row>
        <row r="82">
          <cell r="L82">
            <v>46002</v>
          </cell>
        </row>
        <row r="83">
          <cell r="L83">
            <v>46002</v>
          </cell>
        </row>
        <row r="85">
          <cell r="L85">
            <v>45887</v>
          </cell>
        </row>
        <row r="86">
          <cell r="L86">
            <v>45887</v>
          </cell>
        </row>
        <row r="87">
          <cell r="L87">
            <v>45889</v>
          </cell>
        </row>
        <row r="88">
          <cell r="L88">
            <v>46008</v>
          </cell>
        </row>
        <row r="89">
          <cell r="L89">
            <v>46008</v>
          </cell>
        </row>
        <row r="90">
          <cell r="L90">
            <v>46008</v>
          </cell>
        </row>
        <row r="91">
          <cell r="L91">
            <v>46003</v>
          </cell>
        </row>
        <row r="92">
          <cell r="L92">
            <v>46008</v>
          </cell>
        </row>
        <row r="93">
          <cell r="L93">
            <v>46003</v>
          </cell>
        </row>
        <row r="94">
          <cell r="L94">
            <v>46003</v>
          </cell>
        </row>
        <row r="95">
          <cell r="L95">
            <v>46003</v>
          </cell>
        </row>
        <row r="96">
          <cell r="L96">
            <v>46008</v>
          </cell>
        </row>
        <row r="97">
          <cell r="L97">
            <v>46008</v>
          </cell>
        </row>
        <row r="98">
          <cell r="L98">
            <v>46008</v>
          </cell>
        </row>
        <row r="100">
          <cell r="L100">
            <v>46008</v>
          </cell>
        </row>
        <row r="102">
          <cell r="L102">
            <v>45889</v>
          </cell>
        </row>
        <row r="103">
          <cell r="L103">
            <v>46003</v>
          </cell>
        </row>
        <row r="105">
          <cell r="L105">
            <v>46002</v>
          </cell>
        </row>
        <row r="106">
          <cell r="L106">
            <v>46002</v>
          </cell>
        </row>
        <row r="107">
          <cell r="L107">
            <v>46002</v>
          </cell>
        </row>
        <row r="108">
          <cell r="L108">
            <v>46002</v>
          </cell>
        </row>
        <row r="109">
          <cell r="L109">
            <v>46002</v>
          </cell>
        </row>
        <row r="110">
          <cell r="L110">
            <v>46002</v>
          </cell>
        </row>
        <row r="111">
          <cell r="L111">
            <v>46002</v>
          </cell>
        </row>
        <row r="112">
          <cell r="L112">
            <v>46002</v>
          </cell>
        </row>
        <row r="113">
          <cell r="L113">
            <v>46002</v>
          </cell>
        </row>
        <row r="114">
          <cell r="L114">
            <v>46002</v>
          </cell>
        </row>
        <row r="115">
          <cell r="L115">
            <v>46002</v>
          </cell>
        </row>
        <row r="116">
          <cell r="L116">
            <v>46002</v>
          </cell>
        </row>
        <row r="117">
          <cell r="L117">
            <v>46002</v>
          </cell>
        </row>
        <row r="118">
          <cell r="L118">
            <v>46002</v>
          </cell>
        </row>
        <row r="119">
          <cell r="L119">
            <v>46002</v>
          </cell>
        </row>
        <row r="120">
          <cell r="L120">
            <v>46002</v>
          </cell>
        </row>
        <row r="121">
          <cell r="L121">
            <v>46002</v>
          </cell>
        </row>
        <row r="122">
          <cell r="L122">
            <v>46002</v>
          </cell>
        </row>
        <row r="124">
          <cell r="L124">
            <v>46002</v>
          </cell>
        </row>
        <row r="125">
          <cell r="L125">
            <v>46002</v>
          </cell>
        </row>
        <row r="126">
          <cell r="L126">
            <v>46002</v>
          </cell>
        </row>
        <row r="128">
          <cell r="L128">
            <v>46019</v>
          </cell>
        </row>
        <row r="129">
          <cell r="L129">
            <v>46002</v>
          </cell>
        </row>
        <row r="131">
          <cell r="L131">
            <v>46021</v>
          </cell>
        </row>
        <row r="133">
          <cell r="L133">
            <v>46003</v>
          </cell>
        </row>
        <row r="134">
          <cell r="L134">
            <v>46003</v>
          </cell>
        </row>
        <row r="135">
          <cell r="L135">
            <v>46003</v>
          </cell>
        </row>
        <row r="137">
          <cell r="L137">
            <v>46003</v>
          </cell>
        </row>
        <row r="139">
          <cell r="L139">
            <v>46003</v>
          </cell>
        </row>
        <row r="141">
          <cell r="L141">
            <v>46003</v>
          </cell>
        </row>
        <row r="142">
          <cell r="L142">
            <v>46003</v>
          </cell>
        </row>
        <row r="143">
          <cell r="L143">
            <v>46003</v>
          </cell>
        </row>
        <row r="144">
          <cell r="L144">
            <v>46003</v>
          </cell>
        </row>
        <row r="146">
          <cell r="L146">
            <v>46003</v>
          </cell>
        </row>
        <row r="147">
          <cell r="L147">
            <v>46003</v>
          </cell>
        </row>
        <row r="148">
          <cell r="L148">
            <v>46008</v>
          </cell>
        </row>
        <row r="149">
          <cell r="L149">
            <v>46003</v>
          </cell>
        </row>
        <row r="150">
          <cell r="L150">
            <v>45889</v>
          </cell>
        </row>
        <row r="151">
          <cell r="L151">
            <v>45889</v>
          </cell>
        </row>
        <row r="153">
          <cell r="L153">
            <v>46003</v>
          </cell>
        </row>
        <row r="154">
          <cell r="L154">
            <v>46003</v>
          </cell>
        </row>
        <row r="155">
          <cell r="L155">
            <v>46003</v>
          </cell>
        </row>
        <row r="156">
          <cell r="L156">
            <v>46003</v>
          </cell>
        </row>
        <row r="157">
          <cell r="L157">
            <v>46003</v>
          </cell>
        </row>
        <row r="158">
          <cell r="L158">
            <v>46003</v>
          </cell>
        </row>
        <row r="159">
          <cell r="L159">
            <v>46003</v>
          </cell>
        </row>
        <row r="160">
          <cell r="L160">
            <v>46003</v>
          </cell>
        </row>
        <row r="162">
          <cell r="L162">
            <v>46005</v>
          </cell>
        </row>
        <row r="163">
          <cell r="L163">
            <v>46005</v>
          </cell>
        </row>
        <row r="164">
          <cell r="L164">
            <v>46005</v>
          </cell>
        </row>
        <row r="165">
          <cell r="L165">
            <v>46005</v>
          </cell>
        </row>
        <row r="166">
          <cell r="L166">
            <v>46005</v>
          </cell>
        </row>
        <row r="167">
          <cell r="L167">
            <v>46007</v>
          </cell>
        </row>
        <row r="168">
          <cell r="L168">
            <v>46007</v>
          </cell>
        </row>
        <row r="169">
          <cell r="L169">
            <v>46007</v>
          </cell>
        </row>
        <row r="170">
          <cell r="L170">
            <v>46007</v>
          </cell>
        </row>
        <row r="171">
          <cell r="L171">
            <v>46007</v>
          </cell>
        </row>
        <row r="172">
          <cell r="L172">
            <v>46007</v>
          </cell>
        </row>
        <row r="173">
          <cell r="L173">
            <v>46007</v>
          </cell>
        </row>
        <row r="176">
          <cell r="L176">
            <v>46025</v>
          </cell>
        </row>
        <row r="177">
          <cell r="L177">
            <v>46025</v>
          </cell>
        </row>
        <row r="178">
          <cell r="L178">
            <v>46019</v>
          </cell>
        </row>
        <row r="179">
          <cell r="L179">
            <v>46025</v>
          </cell>
        </row>
        <row r="180">
          <cell r="L180">
            <v>46025</v>
          </cell>
        </row>
        <row r="181">
          <cell r="L181">
            <v>46025</v>
          </cell>
        </row>
        <row r="188">
          <cell r="L188">
            <v>46025</v>
          </cell>
        </row>
        <row r="192">
          <cell r="L192">
            <v>46025</v>
          </cell>
        </row>
        <row r="195">
          <cell r="L195">
            <v>46025</v>
          </cell>
        </row>
        <row r="201">
          <cell r="L201">
            <v>46025</v>
          </cell>
        </row>
        <row r="204">
          <cell r="L204">
            <v>46025</v>
          </cell>
        </row>
        <row r="220">
          <cell r="L220">
            <v>46025</v>
          </cell>
        </row>
        <row r="221">
          <cell r="L221">
            <v>46025</v>
          </cell>
        </row>
        <row r="226">
          <cell r="L226">
            <v>46025</v>
          </cell>
        </row>
        <row r="229">
          <cell r="L229">
            <v>46025</v>
          </cell>
        </row>
        <row r="230">
          <cell r="L230">
            <v>46025</v>
          </cell>
        </row>
        <row r="232">
          <cell r="L232">
            <v>46025</v>
          </cell>
        </row>
        <row r="234">
          <cell r="L234">
            <v>46025</v>
          </cell>
        </row>
        <row r="235">
          <cell r="L235">
            <v>46025</v>
          </cell>
        </row>
        <row r="237">
          <cell r="L237">
            <v>46025</v>
          </cell>
        </row>
        <row r="249">
          <cell r="L249">
            <v>46025</v>
          </cell>
        </row>
        <row r="269">
          <cell r="L269">
            <v>46038</v>
          </cell>
        </row>
        <row r="270">
          <cell r="L270">
            <v>46044</v>
          </cell>
        </row>
        <row r="271">
          <cell r="L271">
            <v>46037</v>
          </cell>
        </row>
        <row r="272">
          <cell r="L272">
            <v>46044</v>
          </cell>
        </row>
        <row r="274">
          <cell r="L274">
            <v>46037</v>
          </cell>
        </row>
        <row r="275">
          <cell r="L275">
            <v>46037</v>
          </cell>
        </row>
        <row r="276">
          <cell r="L276">
            <v>46045</v>
          </cell>
        </row>
        <row r="278">
          <cell r="L278">
            <v>46025</v>
          </cell>
        </row>
        <row r="279">
          <cell r="L279">
            <v>46025</v>
          </cell>
        </row>
        <row r="281">
          <cell r="L281">
            <v>46025</v>
          </cell>
        </row>
        <row r="285">
          <cell r="L285">
            <v>46025</v>
          </cell>
        </row>
        <row r="293">
          <cell r="L293">
            <v>46048</v>
          </cell>
        </row>
        <row r="332">
          <cell r="L332">
            <v>46048</v>
          </cell>
        </row>
        <row r="342">
          <cell r="L342">
            <v>46048</v>
          </cell>
        </row>
        <row r="344">
          <cell r="L344">
            <v>46048</v>
          </cell>
        </row>
        <row r="348">
          <cell r="L348">
            <v>46038</v>
          </cell>
        </row>
        <row r="350">
          <cell r="L350">
            <v>46038</v>
          </cell>
        </row>
        <row r="360">
          <cell r="L360">
            <v>46037</v>
          </cell>
        </row>
        <row r="375">
          <cell r="L375">
            <v>46048</v>
          </cell>
        </row>
        <row r="376">
          <cell r="L376">
            <v>46038</v>
          </cell>
        </row>
        <row r="377">
          <cell r="L377">
            <v>46049</v>
          </cell>
        </row>
        <row r="378">
          <cell r="L378">
            <v>46049</v>
          </cell>
        </row>
        <row r="379">
          <cell r="L379">
            <v>46048</v>
          </cell>
        </row>
        <row r="381">
          <cell r="L381">
            <v>46048</v>
          </cell>
        </row>
        <row r="382">
          <cell r="L382">
            <v>46048</v>
          </cell>
        </row>
        <row r="389">
          <cell r="L389">
            <v>46049</v>
          </cell>
        </row>
        <row r="390">
          <cell r="L390">
            <v>46049</v>
          </cell>
        </row>
        <row r="393">
          <cell r="L393">
            <v>46049</v>
          </cell>
        </row>
        <row r="394">
          <cell r="L394">
            <v>46049</v>
          </cell>
        </row>
        <row r="397">
          <cell r="L397">
            <v>46049</v>
          </cell>
        </row>
        <row r="398">
          <cell r="L398">
            <v>46050</v>
          </cell>
        </row>
        <row r="399">
          <cell r="L399">
            <v>46049</v>
          </cell>
        </row>
        <row r="406">
          <cell r="L406">
            <v>46051</v>
          </cell>
        </row>
        <row r="410">
          <cell r="L410">
            <v>46054</v>
          </cell>
        </row>
        <row r="413">
          <cell r="L413">
            <v>46054</v>
          </cell>
        </row>
        <row r="414">
          <cell r="L414">
            <v>46054</v>
          </cell>
        </row>
        <row r="418">
          <cell r="L418">
            <v>46055</v>
          </cell>
        </row>
        <row r="426">
          <cell r="L426">
            <v>46055</v>
          </cell>
        </row>
        <row r="427">
          <cell r="L427" t="str">
            <v>搜不到</v>
          </cell>
        </row>
        <row r="430">
          <cell r="L430">
            <v>46057</v>
          </cell>
        </row>
        <row r="433">
          <cell r="L433">
            <v>46077</v>
          </cell>
        </row>
        <row r="436">
          <cell r="L436">
            <v>46077</v>
          </cell>
        </row>
        <row r="734">
          <cell r="L734">
            <v>46009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目录表"/>
      <sheetName val="下单总表 _2026"/>
      <sheetName val="soso模板"/>
      <sheetName val="大墨仓模板"/>
      <sheetName val="必应模板"/>
      <sheetName val="数智联模板"/>
      <sheetName val="下单总表"/>
      <sheetName val="未发货清单汇总"/>
      <sheetName val="货代接货联系方式"/>
      <sheetName val="WpsReserved_CellImgList"/>
    </sheetNames>
    <sheetDataSet>
      <sheetData sheetId="0">
        <row r="1">
          <cell r="H1" t="str">
            <v>sku</v>
          </cell>
        </row>
        <row r="1">
          <cell r="X1" t="str">
            <v>包装重量kg</v>
          </cell>
          <cell r="Y1" t="str">
            <v>包装长cm</v>
          </cell>
          <cell r="Z1" t="str">
            <v>包装宽cm</v>
          </cell>
          <cell r="AA1" t="str">
            <v>包装高cm</v>
          </cell>
        </row>
        <row r="2">
          <cell r="H2" t="str">
            <v>CT7-ZYBZKG-WS150 WS175</v>
          </cell>
        </row>
        <row r="2">
          <cell r="X2">
            <v>0.42</v>
          </cell>
          <cell r="Y2">
            <v>19</v>
          </cell>
          <cell r="Z2">
            <v>14.2</v>
          </cell>
          <cell r="AA2">
            <v>7.2</v>
          </cell>
        </row>
        <row r="3">
          <cell r="H3" t="str">
            <v>CT7-HYQ-FT150 DT150</v>
          </cell>
        </row>
        <row r="3">
          <cell r="X3">
            <v>0.36</v>
          </cell>
          <cell r="Y3">
            <v>15.8</v>
          </cell>
          <cell r="Z3">
            <v>9.6</v>
          </cell>
          <cell r="AA3">
            <v>9.8</v>
          </cell>
        </row>
        <row r="4">
          <cell r="H4" t="str">
            <v>CT7-HYQ-AT110 XT110</v>
          </cell>
        </row>
        <row r="4">
          <cell r="X4">
            <v>0.34</v>
          </cell>
          <cell r="Y4">
            <v>14.6</v>
          </cell>
          <cell r="Z4">
            <v>9.8</v>
          </cell>
          <cell r="AA4">
            <v>9</v>
          </cell>
        </row>
        <row r="5">
          <cell r="H5" t="str">
            <v>CT7-MP012-Pwk 30mm 150-200cc</v>
          </cell>
        </row>
        <row r="5">
          <cell r="X5">
            <v>0.54</v>
          </cell>
          <cell r="Y5">
            <v>15.5</v>
          </cell>
          <cell r="Z5">
            <v>10.5</v>
          </cell>
          <cell r="AA5">
            <v>9.5</v>
          </cell>
        </row>
        <row r="6">
          <cell r="H6" t="str">
            <v>CT7-MP013-250z Rt250</v>
          </cell>
        </row>
        <row r="6">
          <cell r="X6">
            <v>0.56</v>
          </cell>
          <cell r="Y6">
            <v>14</v>
          </cell>
          <cell r="Z6">
            <v>12</v>
          </cell>
          <cell r="AA6">
            <v>12</v>
          </cell>
        </row>
        <row r="7">
          <cell r="H7" t="str">
            <v>CT7-MP009-Polaris Sportsman 500</v>
          </cell>
        </row>
        <row r="7">
          <cell r="X7">
            <v>0.797</v>
          </cell>
          <cell r="Y7">
            <v>16</v>
          </cell>
          <cell r="Z7">
            <v>13</v>
          </cell>
          <cell r="AA7">
            <v>11</v>
          </cell>
        </row>
        <row r="8">
          <cell r="H8" t="str">
            <v>CT7-MP010-450 Trx450 350</v>
          </cell>
        </row>
        <row r="8">
          <cell r="X8">
            <v>0.998</v>
          </cell>
          <cell r="Y8">
            <v>16.5</v>
          </cell>
          <cell r="Z8">
            <v>12</v>
          </cell>
          <cell r="AA8">
            <v>12</v>
          </cell>
        </row>
        <row r="9">
          <cell r="H9" t="str">
            <v>CT7-MP015-Pwk 30mm 150-250cc</v>
          </cell>
        </row>
        <row r="9">
          <cell r="X9">
            <v>0.54</v>
          </cell>
          <cell r="Y9">
            <v>15.5</v>
          </cell>
          <cell r="Z9">
            <v>10.5</v>
          </cell>
          <cell r="AA9">
            <v>9.5</v>
          </cell>
        </row>
        <row r="10">
          <cell r="H10" t="str">
            <v>CT7-MP016-Dm200 Dm200</v>
          </cell>
        </row>
        <row r="10">
          <cell r="X10">
            <v>0.55</v>
          </cell>
          <cell r="Y10">
            <v>14</v>
          </cell>
          <cell r="Z10">
            <v>11</v>
          </cell>
          <cell r="AA10">
            <v>9</v>
          </cell>
        </row>
        <row r="11">
          <cell r="H11" t="str">
            <v>CT7-MP017-Cargo 150</v>
          </cell>
        </row>
        <row r="11">
          <cell r="X11">
            <v>0.75</v>
          </cell>
          <cell r="Y11">
            <v>14</v>
          </cell>
          <cell r="Z11">
            <v>12</v>
          </cell>
          <cell r="AA11">
            <v>12</v>
          </cell>
        </row>
        <row r="12">
          <cell r="H12" t="str">
            <v>CT7-MP014-34 mm 125 V A 250 C</v>
          </cell>
        </row>
        <row r="12">
          <cell r="X12">
            <v>0.52</v>
          </cell>
          <cell r="Y12">
            <v>15.5</v>
          </cell>
          <cell r="Z12">
            <v>10.5</v>
          </cell>
          <cell r="AA12">
            <v>9.5</v>
          </cell>
        </row>
        <row r="13">
          <cell r="H13" t="str">
            <v>CT7-HDG-250Z</v>
          </cell>
        </row>
        <row r="13">
          <cell r="X13">
            <v>0.38</v>
          </cell>
          <cell r="Y13">
            <v>20.8</v>
          </cell>
          <cell r="Z13">
            <v>10</v>
          </cell>
          <cell r="AA13">
            <v>4.6</v>
          </cell>
        </row>
        <row r="14">
          <cell r="H14" t="str">
            <v>CT7-JYLQQLX-vortex250</v>
          </cell>
        </row>
        <row r="14">
          <cell r="X14">
            <v>0.04</v>
          </cell>
          <cell r="Y14">
            <v>6.2</v>
          </cell>
          <cell r="Z14">
            <v>6.2</v>
          </cell>
          <cell r="AA14">
            <v>3.8</v>
          </cell>
        </row>
        <row r="15">
          <cell r="H15" t="str">
            <v>CT7-TYSCYG-Amarillo</v>
          </cell>
        </row>
        <row r="15">
          <cell r="X15">
            <v>0.1</v>
          </cell>
          <cell r="Y15">
            <v>28.2</v>
          </cell>
          <cell r="Z15">
            <v>22.2</v>
          </cell>
          <cell r="AA15">
            <v>3</v>
          </cell>
        </row>
        <row r="16">
          <cell r="H16" t="str">
            <v>CT7-TYSCYG-Negro</v>
          </cell>
        </row>
        <row r="16">
          <cell r="X16">
            <v>0.16</v>
          </cell>
          <cell r="Y16">
            <v>28.4</v>
          </cell>
          <cell r="Z16">
            <v>22.2</v>
          </cell>
          <cell r="AA16">
            <v>2.6</v>
          </cell>
        </row>
        <row r="17">
          <cell r="H17" t="str">
            <v>CT7-TYSCYG-Gris</v>
          </cell>
        </row>
        <row r="17">
          <cell r="X17">
            <v>0.14</v>
          </cell>
          <cell r="Y17">
            <v>21.8</v>
          </cell>
          <cell r="Z17">
            <v>20</v>
          </cell>
          <cell r="AA17">
            <v>1.2</v>
          </cell>
        </row>
        <row r="18">
          <cell r="H18" t="str">
            <v>CT7-TYSCYG-Azul</v>
          </cell>
        </row>
        <row r="18">
          <cell r="X18">
            <v>0.1</v>
          </cell>
          <cell r="Y18">
            <v>27.8</v>
          </cell>
          <cell r="Z18">
            <v>22.6</v>
          </cell>
          <cell r="AA18">
            <v>3.4</v>
          </cell>
        </row>
        <row r="19">
          <cell r="H19" t="str">
            <v>CT7-LTS-Rojo</v>
          </cell>
        </row>
        <row r="19">
          <cell r="X19">
            <v>0.06</v>
          </cell>
          <cell r="Y19">
            <v>24</v>
          </cell>
          <cell r="Z19">
            <v>10.8</v>
          </cell>
          <cell r="AA19">
            <v>4.4</v>
          </cell>
        </row>
        <row r="20">
          <cell r="H20" t="str">
            <v>CT7-LTS-Azul</v>
          </cell>
        </row>
        <row r="20">
          <cell r="X20">
            <v>0.12</v>
          </cell>
          <cell r="Y20">
            <v>25.2</v>
          </cell>
          <cell r="Z20">
            <v>10.6</v>
          </cell>
          <cell r="AA20">
            <v>4</v>
          </cell>
        </row>
        <row r="21">
          <cell r="H21" t="str">
            <v>CT7-LTS-Negro</v>
          </cell>
        </row>
        <row r="21">
          <cell r="X21">
            <v>0.06</v>
          </cell>
          <cell r="Y21">
            <v>27</v>
          </cell>
          <cell r="Z21">
            <v>8</v>
          </cell>
          <cell r="AA21">
            <v>4</v>
          </cell>
        </row>
        <row r="22">
          <cell r="H22" t="str">
            <v>CT7-WCMXYQ</v>
          </cell>
        </row>
        <row r="22">
          <cell r="X22">
            <v>0.08</v>
          </cell>
          <cell r="Y22">
            <v>10</v>
          </cell>
          <cell r="Z22">
            <v>7</v>
          </cell>
          <cell r="AA22">
            <v>5</v>
          </cell>
        </row>
        <row r="23">
          <cell r="H23" t="str">
            <v>CT7-TYYSCB</v>
          </cell>
        </row>
        <row r="23">
          <cell r="X23">
            <v>0.38</v>
          </cell>
          <cell r="Y23">
            <v>23.2</v>
          </cell>
          <cell r="Z23">
            <v>16.6</v>
          </cell>
          <cell r="AA23">
            <v>6</v>
          </cell>
        </row>
        <row r="24">
          <cell r="H24" t="str">
            <v>CT7-LHQCXQ</v>
          </cell>
        </row>
        <row r="24"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H25" t="str">
            <v>CT7-SKPT-2PK</v>
          </cell>
        </row>
        <row r="25">
          <cell r="X25">
            <v>0.02</v>
          </cell>
          <cell r="Y25">
            <v>5</v>
          </cell>
          <cell r="Z25">
            <v>7.2</v>
          </cell>
          <cell r="AA25">
            <v>2.2</v>
          </cell>
        </row>
        <row r="26">
          <cell r="H26" t="str">
            <v>CT7-DKPT(2PK)-DP(2PK)</v>
          </cell>
        </row>
        <row r="26">
          <cell r="X26">
            <v>0.02</v>
          </cell>
          <cell r="Y26">
            <v>7.6</v>
          </cell>
          <cell r="Z26">
            <v>5.2</v>
          </cell>
          <cell r="AA26">
            <v>1.8</v>
          </cell>
        </row>
        <row r="27">
          <cell r="H27" t="str">
            <v>CT7-LTQ-18PK</v>
          </cell>
        </row>
        <row r="27">
          <cell r="X27">
            <v>0.04</v>
          </cell>
          <cell r="Y27">
            <v>8.6</v>
          </cell>
          <cell r="Z27">
            <v>7.6</v>
          </cell>
          <cell r="AA27">
            <v>1.8</v>
          </cell>
        </row>
        <row r="28">
          <cell r="H28" t="str">
            <v>CT7-SG(2M)-DKPT(2pk)-LTQ(6PK)</v>
          </cell>
        </row>
        <row r="28">
          <cell r="X28">
            <v>0.1</v>
          </cell>
          <cell r="Y28">
            <v>14.8</v>
          </cell>
          <cell r="Z28">
            <v>13</v>
          </cell>
          <cell r="AA28">
            <v>3.2</v>
          </cell>
        </row>
        <row r="29">
          <cell r="H29" t="str">
            <v>CT7-SKPT(2PK)-SG(2M)-LTQ(6PK)</v>
          </cell>
        </row>
        <row r="29">
          <cell r="X29">
            <v>0.08</v>
          </cell>
          <cell r="Y29">
            <v>13</v>
          </cell>
          <cell r="Z29">
            <v>11</v>
          </cell>
          <cell r="AA29">
            <v>2.4</v>
          </cell>
        </row>
        <row r="30">
          <cell r="H30" t="str">
            <v>CT7-SG(2M)-LTQ(6PK)</v>
          </cell>
        </row>
        <row r="30">
          <cell r="X30">
            <v>0.06</v>
          </cell>
          <cell r="Y30">
            <v>14.6</v>
          </cell>
          <cell r="Z30">
            <v>15.2</v>
          </cell>
          <cell r="AA30">
            <v>3</v>
          </cell>
        </row>
        <row r="31">
          <cell r="H31" t="str">
            <v>CT7-SKD-Negro-2PK</v>
          </cell>
        </row>
        <row r="31">
          <cell r="X31">
            <v>0.02</v>
          </cell>
          <cell r="Y31">
            <v>8.6</v>
          </cell>
          <cell r="Z31">
            <v>5.6</v>
          </cell>
          <cell r="AA31">
            <v>1.8</v>
          </cell>
        </row>
        <row r="32">
          <cell r="H32" t="str">
            <v>CT7-LEDDCD-Rojo-2PK</v>
          </cell>
        </row>
        <row r="32">
          <cell r="X32">
            <v>0.02</v>
          </cell>
          <cell r="Y32">
            <v>8.8</v>
          </cell>
          <cell r="Z32">
            <v>6.8</v>
          </cell>
          <cell r="AA32">
            <v>0.8</v>
          </cell>
        </row>
        <row r="33">
          <cell r="H33" t="str">
            <v>CT7-LEDDCD-Blanco-2PK</v>
          </cell>
        </row>
        <row r="33">
          <cell r="X33">
            <v>0.02</v>
          </cell>
          <cell r="Y33">
            <v>9</v>
          </cell>
          <cell r="Z33">
            <v>5.2</v>
          </cell>
          <cell r="AA33">
            <v>3.2</v>
          </cell>
        </row>
        <row r="34">
          <cell r="H34" t="str">
            <v>CT7-LEDDCD-Ambar-2PK</v>
          </cell>
        </row>
        <row r="34">
          <cell r="X34">
            <v>0.04</v>
          </cell>
          <cell r="Y34">
            <v>8.6</v>
          </cell>
          <cell r="Z34">
            <v>7</v>
          </cell>
          <cell r="AA34">
            <v>1.6</v>
          </cell>
        </row>
        <row r="35">
          <cell r="H35" t="str">
            <v>CT7-ZXDP-Blanco-2PK</v>
          </cell>
        </row>
        <row r="35">
          <cell r="X35">
            <v>0.02</v>
          </cell>
          <cell r="Y35">
            <v>9</v>
          </cell>
          <cell r="Z35">
            <v>4.2</v>
          </cell>
          <cell r="AA35">
            <v>3</v>
          </cell>
        </row>
        <row r="36">
          <cell r="H36" t="str">
            <v>CT7-DCD-BS-1157-Blanco-2PK</v>
          </cell>
        </row>
        <row r="36">
          <cell r="X36">
            <v>0.02</v>
          </cell>
          <cell r="Y36">
            <v>8.2</v>
          </cell>
          <cell r="Z36">
            <v>3.6</v>
          </cell>
          <cell r="AA36">
            <v>1.6</v>
          </cell>
        </row>
        <row r="37">
          <cell r="H37" t="str">
            <v>CT7-DCD-BS-1157-Rojo-2PK</v>
          </cell>
        </row>
        <row r="37">
          <cell r="X37">
            <v>0.02</v>
          </cell>
          <cell r="Y37">
            <v>5.8</v>
          </cell>
          <cell r="Z37">
            <v>4.4</v>
          </cell>
          <cell r="AA37">
            <v>1.8</v>
          </cell>
        </row>
        <row r="38">
          <cell r="H38" t="str">
            <v>CT7-SCBSDP-1156-Rojo-2PK</v>
          </cell>
        </row>
        <row r="38">
          <cell r="X38">
            <v>0.01</v>
          </cell>
          <cell r="Y38">
            <v>8</v>
          </cell>
          <cell r="Z38">
            <v>4.6</v>
          </cell>
          <cell r="AA38">
            <v>3</v>
          </cell>
        </row>
        <row r="39">
          <cell r="H39" t="str">
            <v>CT7-SCBSDP-1157-Rojo-2PK</v>
          </cell>
        </row>
        <row r="39">
          <cell r="X39">
            <v>0.02</v>
          </cell>
          <cell r="Y39">
            <v>8.8</v>
          </cell>
          <cell r="Z39">
            <v>5.2</v>
          </cell>
          <cell r="AA39">
            <v>2.2</v>
          </cell>
        </row>
        <row r="40">
          <cell r="H40" t="str">
            <v>CT7-DCD-1157-Blanco-2PK</v>
          </cell>
        </row>
        <row r="40">
          <cell r="X40">
            <v>0.04</v>
          </cell>
          <cell r="Y40">
            <v>6</v>
          </cell>
          <cell r="Z40">
            <v>4.4</v>
          </cell>
          <cell r="AA40">
            <v>3</v>
          </cell>
        </row>
        <row r="41">
          <cell r="H41" t="str">
            <v>CT7-DCD-1157-Rojo-2PK</v>
          </cell>
        </row>
        <row r="41">
          <cell r="X41">
            <v>0.02</v>
          </cell>
          <cell r="Y41">
            <v>12.8</v>
          </cell>
          <cell r="Z41">
            <v>7.4</v>
          </cell>
          <cell r="AA41">
            <v>0.8</v>
          </cell>
        </row>
        <row r="42">
          <cell r="H42" t="str">
            <v>CT7-HKHDDHQ-250Z-Negrura</v>
          </cell>
        </row>
        <row r="42">
          <cell r="X42">
            <v>0.17</v>
          </cell>
          <cell r="Y42">
            <v>6.8</v>
          </cell>
          <cell r="Z42">
            <v>9</v>
          </cell>
          <cell r="AA42">
            <v>6</v>
          </cell>
        </row>
        <row r="43">
          <cell r="H43" t="str">
            <v>CT7-TMDHQ-250Z-Azul</v>
          </cell>
        </row>
        <row r="43">
          <cell r="X43">
            <v>0.8</v>
          </cell>
          <cell r="Y43">
            <v>8</v>
          </cell>
          <cell r="Z43">
            <v>7</v>
          </cell>
          <cell r="AA43">
            <v>6</v>
          </cell>
        </row>
        <row r="44">
          <cell r="H44" t="str">
            <v>CT7-HDDHQ-FT150-Naranja</v>
          </cell>
        </row>
        <row r="44">
          <cell r="X44">
            <v>0.14</v>
          </cell>
          <cell r="Y44">
            <v>6.8</v>
          </cell>
          <cell r="Z44">
            <v>5.8</v>
          </cell>
          <cell r="AA44">
            <v>8.6</v>
          </cell>
        </row>
        <row r="45">
          <cell r="H45" t="str">
            <v>CT7-TMDHQ-FT150-Naranja</v>
          </cell>
        </row>
        <row r="45">
          <cell r="X45">
            <v>0.16</v>
          </cell>
          <cell r="Y45">
            <v>5.8</v>
          </cell>
          <cell r="Z45">
            <v>7</v>
          </cell>
          <cell r="AA45">
            <v>9</v>
          </cell>
        </row>
        <row r="46">
          <cell r="H46" t="str">
            <v>CT7-TMDHQ-Crossmax 300-Azul</v>
          </cell>
        </row>
        <row r="46">
          <cell r="X46">
            <v>0.14</v>
          </cell>
          <cell r="Y46">
            <v>6.8</v>
          </cell>
          <cell r="Z46">
            <v>5.8</v>
          </cell>
          <cell r="AA46">
            <v>8.8</v>
          </cell>
        </row>
        <row r="47">
          <cell r="H47" t="str">
            <v>CT7-TS-125z</v>
          </cell>
        </row>
        <row r="47">
          <cell r="X47">
            <v>0.68</v>
          </cell>
          <cell r="Y47">
            <v>13.6</v>
          </cell>
          <cell r="Z47">
            <v>12.2</v>
          </cell>
          <cell r="AA47">
            <v>8</v>
          </cell>
        </row>
        <row r="48">
          <cell r="H48" t="str">
            <v>CT7-TS-DM250</v>
          </cell>
        </row>
        <row r="48">
          <cell r="X48">
            <v>0.6</v>
          </cell>
          <cell r="Y48">
            <v>12</v>
          </cell>
          <cell r="Z48">
            <v>11</v>
          </cell>
          <cell r="AA48">
            <v>7</v>
          </cell>
        </row>
        <row r="49">
          <cell r="H49" t="str">
            <v>CT7-TS-AT110</v>
          </cell>
        </row>
        <row r="49">
          <cell r="X49">
            <v>0.6</v>
          </cell>
          <cell r="Y49">
            <v>12</v>
          </cell>
          <cell r="Z49">
            <v>11</v>
          </cell>
          <cell r="AA49">
            <v>7</v>
          </cell>
        </row>
        <row r="50">
          <cell r="H50" t="str">
            <v>ATV-CT7-TS</v>
          </cell>
        </row>
        <row r="50">
          <cell r="X50">
            <v>0.06</v>
          </cell>
          <cell r="Y50">
            <v>7.8</v>
          </cell>
          <cell r="Z50">
            <v>7.8</v>
          </cell>
          <cell r="AA50">
            <v>4.6</v>
          </cell>
        </row>
        <row r="51">
          <cell r="H51" t="str">
            <v>250z 19-23-CT7-TS</v>
          </cell>
        </row>
        <row r="51">
          <cell r="X51">
            <v>1.1</v>
          </cell>
          <cell r="Y51">
            <v>18.8</v>
          </cell>
          <cell r="Z51">
            <v>11.6</v>
          </cell>
          <cell r="AA51">
            <v>8</v>
          </cell>
        </row>
        <row r="52">
          <cell r="H52" t="str">
            <v>Dt125 Forza125 Ft125 Ft150-CT7-TS</v>
          </cell>
        </row>
        <row r="52">
          <cell r="X52">
            <v>0.6</v>
          </cell>
          <cell r="Y52">
            <v>12</v>
          </cell>
          <cell r="Z52">
            <v>11</v>
          </cell>
          <cell r="AA52">
            <v>7</v>
          </cell>
        </row>
        <row r="53">
          <cell r="H53" t="str">
            <v>CT7-YMS-Fz16</v>
          </cell>
        </row>
        <row r="53">
          <cell r="X53">
            <v>0.18</v>
          </cell>
          <cell r="Y53">
            <v>12.8</v>
          </cell>
          <cell r="Z53">
            <v>12.6</v>
          </cell>
          <cell r="AA53">
            <v>5</v>
          </cell>
        </row>
        <row r="54">
          <cell r="H54" t="str">
            <v>CT7-YMS-Gtr Boxter RT</v>
          </cell>
        </row>
        <row r="54">
          <cell r="X54">
            <v>0.6</v>
          </cell>
          <cell r="Y54">
            <v>12</v>
          </cell>
          <cell r="Z54">
            <v>11</v>
          </cell>
          <cell r="AA54">
            <v>7</v>
          </cell>
        </row>
        <row r="55">
          <cell r="H55" t="str">
            <v>Vento Tornado 250 -CT7-YMS</v>
          </cell>
        </row>
        <row r="55">
          <cell r="X55">
            <v>0.35</v>
          </cell>
          <cell r="Y55">
            <v>12.9</v>
          </cell>
          <cell r="Z55">
            <v>13</v>
          </cell>
          <cell r="AA55">
            <v>5.3</v>
          </cell>
        </row>
        <row r="56">
          <cell r="H56" t="str">
            <v>CT7-YMS-GN125</v>
          </cell>
        </row>
        <row r="56">
          <cell r="X56">
            <v>0.6</v>
          </cell>
          <cell r="Y56">
            <v>12</v>
          </cell>
          <cell r="Z56">
            <v>11</v>
          </cell>
          <cell r="AA56">
            <v>7</v>
          </cell>
        </row>
        <row r="57">
          <cell r="H57" t="str">
            <v>CT7-YMS-Dinamo Deportiva R250</v>
          </cell>
        </row>
        <row r="57">
          <cell r="X57">
            <v>0.6</v>
          </cell>
          <cell r="Y57">
            <v>12</v>
          </cell>
          <cell r="Z57">
            <v>11</v>
          </cell>
          <cell r="AA57">
            <v>7</v>
          </cell>
        </row>
        <row r="58">
          <cell r="H58" t="str">
            <v>CT7-YMS-Pulsar Ns Rs 200</v>
          </cell>
        </row>
        <row r="58">
          <cell r="X58">
            <v>0.32</v>
          </cell>
          <cell r="Y58">
            <v>11</v>
          </cell>
          <cell r="Z58">
            <v>10.6</v>
          </cell>
          <cell r="AA58">
            <v>5.6</v>
          </cell>
        </row>
        <row r="59">
          <cell r="H59" t="str">
            <v>RT200-CT7-YMS</v>
          </cell>
        </row>
        <row r="59">
          <cell r="X59">
            <v>0.22</v>
          </cell>
          <cell r="Y59">
            <v>11.3</v>
          </cell>
          <cell r="Z59">
            <v>11.1</v>
          </cell>
          <cell r="AA59">
            <v>5.2</v>
          </cell>
        </row>
        <row r="60">
          <cell r="H60" t="str">
            <v>Rxz Rxz135 Rxs115-CT7-YMS</v>
          </cell>
        </row>
        <row r="60">
          <cell r="X60">
            <v>0.16</v>
          </cell>
          <cell r="Y60">
            <v>11</v>
          </cell>
          <cell r="Z60">
            <v>10</v>
          </cell>
          <cell r="AA60">
            <v>5.6</v>
          </cell>
        </row>
        <row r="61">
          <cell r="H61" t="str">
            <v>CT7-YMS-Gt150 Proton 150 200</v>
          </cell>
        </row>
        <row r="61">
          <cell r="X61">
            <v>0.3</v>
          </cell>
          <cell r="Y61">
            <v>11.4</v>
          </cell>
          <cell r="Z61">
            <v>8.6</v>
          </cell>
          <cell r="AA61">
            <v>7</v>
          </cell>
        </row>
        <row r="62">
          <cell r="H62" t="str">
            <v>CT7-YMS-Dm250</v>
          </cell>
        </row>
        <row r="62">
          <cell r="X62">
            <v>0.6</v>
          </cell>
          <cell r="Y62">
            <v>12</v>
          </cell>
          <cell r="Z62">
            <v>11</v>
          </cell>
          <cell r="AA62">
            <v>7</v>
          </cell>
        </row>
        <row r="63">
          <cell r="H63" t="str">
            <v>CT7-YMS-Rc150</v>
          </cell>
        </row>
        <row r="63">
          <cell r="X63">
            <v>0.22</v>
          </cell>
          <cell r="Y63">
            <v>13.8</v>
          </cell>
          <cell r="Z63">
            <v>7</v>
          </cell>
          <cell r="AA63">
            <v>7.2</v>
          </cell>
        </row>
        <row r="64">
          <cell r="H64" t="str">
            <v>150z-CT7-YMS</v>
          </cell>
        </row>
        <row r="64">
          <cell r="X64">
            <v>0.3</v>
          </cell>
          <cell r="Y64">
            <v>10</v>
          </cell>
          <cell r="Z64">
            <v>10</v>
          </cell>
          <cell r="AA64">
            <v>6.2</v>
          </cell>
        </row>
        <row r="65">
          <cell r="H65" t="str">
            <v>Ws175 Ws150-CT7-XQ</v>
          </cell>
        </row>
        <row r="65">
          <cell r="X65">
            <v>1</v>
          </cell>
          <cell r="Y65">
            <v>15</v>
          </cell>
          <cell r="Z65">
            <v>15</v>
          </cell>
          <cell r="AA65">
            <v>5</v>
          </cell>
        </row>
        <row r="66">
          <cell r="H66" t="str">
            <v>Pulsar Rs200-CT7-XQ</v>
          </cell>
        </row>
        <row r="66">
          <cell r="X66">
            <v>0.93</v>
          </cell>
          <cell r="Y66">
            <v>15.6</v>
          </cell>
          <cell r="Z66">
            <v>15.4</v>
          </cell>
          <cell r="AA66">
            <v>5.6</v>
          </cell>
        </row>
        <row r="67">
          <cell r="H67" t="str">
            <v>Gixxer 155-CT7-XQ</v>
          </cell>
        </row>
        <row r="67">
          <cell r="X67">
            <v>0.59</v>
          </cell>
          <cell r="Y67">
            <v>2.6</v>
          </cell>
          <cell r="Z67">
            <v>11.2</v>
          </cell>
          <cell r="AA67">
            <v>5.6</v>
          </cell>
        </row>
        <row r="68">
          <cell r="H68" t="str">
            <v>125z Dm150-CT7-XQ</v>
          </cell>
        </row>
        <row r="68">
          <cell r="X68">
            <v>0.55</v>
          </cell>
          <cell r="Y68">
            <v>11.2</v>
          </cell>
          <cell r="Z68">
            <v>11.2</v>
          </cell>
          <cell r="AA68">
            <v>6</v>
          </cell>
        </row>
        <row r="69">
          <cell r="H69" t="str">
            <v>250z-CT7-XQ</v>
          </cell>
        </row>
        <row r="69">
          <cell r="X69">
            <v>0.67</v>
          </cell>
          <cell r="Y69">
            <v>11.4</v>
          </cell>
          <cell r="Z69">
            <v>11.4</v>
          </cell>
          <cell r="AA69">
            <v>5.8</v>
          </cell>
        </row>
        <row r="70">
          <cell r="H70" t="str">
            <v>Cargo 150-CT7-XQ</v>
          </cell>
        </row>
        <row r="70">
          <cell r="X70">
            <v>0.65</v>
          </cell>
          <cell r="Y70">
            <v>11.6</v>
          </cell>
          <cell r="Z70">
            <v>11.2</v>
          </cell>
          <cell r="AA70">
            <v>5.8</v>
          </cell>
        </row>
        <row r="71">
          <cell r="H71" t="str">
            <v>CT7-XQ-St70 St90</v>
          </cell>
        </row>
        <row r="71">
          <cell r="X71">
            <v>0.48</v>
          </cell>
          <cell r="Y71">
            <v>12.5</v>
          </cell>
          <cell r="Z71">
            <v>13</v>
          </cell>
          <cell r="AA71">
            <v>7.2</v>
          </cell>
        </row>
        <row r="72">
          <cell r="H72" t="str">
            <v>Cargo 150-CT7-QDJ</v>
          </cell>
        </row>
        <row r="72">
          <cell r="X72">
            <v>0.96</v>
          </cell>
          <cell r="Y72">
            <v>14.8</v>
          </cell>
          <cell r="Z72">
            <v>9.8</v>
          </cell>
          <cell r="AA72">
            <v>8.4</v>
          </cell>
        </row>
        <row r="73">
          <cell r="H73" t="str">
            <v>Cygnus Alpha 115-CT7-QDJ</v>
          </cell>
        </row>
        <row r="73">
          <cell r="X73">
            <v>0.6</v>
          </cell>
          <cell r="Y73">
            <v>14.6</v>
          </cell>
          <cell r="Z73">
            <v>10</v>
          </cell>
          <cell r="AA73">
            <v>8.6</v>
          </cell>
        </row>
        <row r="74">
          <cell r="H74" t="str">
            <v>125/150/175cc-CT7-QDJ</v>
          </cell>
        </row>
        <row r="74">
          <cell r="X74">
            <v>0.91</v>
          </cell>
          <cell r="Y74">
            <v>15.2</v>
          </cell>
          <cell r="Z74">
            <v>10</v>
          </cell>
          <cell r="AA74">
            <v>8.6</v>
          </cell>
        </row>
        <row r="75">
          <cell r="H75" t="str">
            <v>DX-Crypton 105 110-CT7-QDJ</v>
          </cell>
        </row>
        <row r="75">
          <cell r="X75">
            <v>0.63</v>
          </cell>
          <cell r="Y75">
            <v>14.6</v>
          </cell>
          <cell r="Z75">
            <v>9.8</v>
          </cell>
          <cell r="AA75">
            <v>8.6</v>
          </cell>
        </row>
        <row r="76">
          <cell r="H76" t="str">
            <v>WX-Crypton 105 110-CT7-QDJ</v>
          </cell>
        </row>
        <row r="76">
          <cell r="X76">
            <v>0.6</v>
          </cell>
          <cell r="Y76">
            <v>14.8</v>
          </cell>
          <cell r="Z76">
            <v>9.8</v>
          </cell>
          <cell r="AA76">
            <v>9</v>
          </cell>
        </row>
        <row r="77">
          <cell r="H77" t="str">
            <v>CT7-QDJ-Ds150 Ws150/175</v>
          </cell>
        </row>
        <row r="77">
          <cell r="X77">
            <v>0.94</v>
          </cell>
          <cell r="Y77">
            <v>15</v>
          </cell>
          <cell r="Z77">
            <v>9.8</v>
          </cell>
          <cell r="AA77">
            <v>9.4</v>
          </cell>
        </row>
        <row r="78">
          <cell r="H78" t="str">
            <v>CT7-QDJ-Ds150 Xs150</v>
          </cell>
        </row>
        <row r="78">
          <cell r="X78">
            <v>0.95</v>
          </cell>
          <cell r="Y78">
            <v>15</v>
          </cell>
          <cell r="Z78">
            <v>9.8</v>
          </cell>
          <cell r="AA78">
            <v>8.8</v>
          </cell>
        </row>
        <row r="79">
          <cell r="H79" t="str">
            <v>CT7-QDJ-Dm200 Dm200sport</v>
          </cell>
        </row>
        <row r="79">
          <cell r="X79">
            <v>1.4</v>
          </cell>
          <cell r="Y79">
            <v>16.8</v>
          </cell>
          <cell r="Z79">
            <v>9.4</v>
          </cell>
          <cell r="AA79">
            <v>9.4</v>
          </cell>
        </row>
        <row r="80">
          <cell r="H80" t="str">
            <v>CT7-QDJ-Dm150 Ft150</v>
          </cell>
        </row>
        <row r="80">
          <cell r="X80">
            <v>1.3</v>
          </cell>
          <cell r="Y80">
            <v>16.6</v>
          </cell>
          <cell r="Z80">
            <v>8.8</v>
          </cell>
          <cell r="AA80">
            <v>9.6</v>
          </cell>
        </row>
        <row r="81">
          <cell r="H81" t="str">
            <v>CT7-QDJ-Trx250</v>
          </cell>
        </row>
        <row r="81">
          <cell r="X81">
            <v>1.3</v>
          </cell>
          <cell r="Y81">
            <v>17</v>
          </cell>
          <cell r="Z81">
            <v>9</v>
          </cell>
          <cell r="AA81">
            <v>9.6</v>
          </cell>
        </row>
        <row r="82">
          <cell r="H82" t="str">
            <v>Outlander Max 650 659-CT7-QDJ</v>
          </cell>
        </row>
        <row r="82">
          <cell r="X82">
            <v>1.6</v>
          </cell>
          <cell r="Y82">
            <v>19.2</v>
          </cell>
          <cell r="Z82">
            <v>8.8</v>
          </cell>
          <cell r="AA82">
            <v>9.8</v>
          </cell>
        </row>
        <row r="83">
          <cell r="H83" t="str">
            <v>Sportsman Magnum 335 400 500-CT7-QDJ</v>
          </cell>
        </row>
        <row r="83">
          <cell r="X83">
            <v>1.5</v>
          </cell>
          <cell r="Y83">
            <v>20</v>
          </cell>
          <cell r="Z83">
            <v>9.4</v>
          </cell>
          <cell r="AA83">
            <v>9</v>
          </cell>
        </row>
        <row r="84">
          <cell r="H84" t="str">
            <v>Fz 2.0 16-CT7-QDJ</v>
          </cell>
        </row>
        <row r="84">
          <cell r="X84">
            <v>0.6</v>
          </cell>
          <cell r="Y84">
            <v>14.8</v>
          </cell>
          <cell r="Z84">
            <v>9.8</v>
          </cell>
          <cell r="AA84">
            <v>8.6</v>
          </cell>
        </row>
        <row r="85">
          <cell r="H85" t="str">
            <v>Xr250 Xl250-CT7-QDJ</v>
          </cell>
        </row>
        <row r="85">
          <cell r="X85">
            <v>1.4</v>
          </cell>
          <cell r="Y85">
            <v>20.2</v>
          </cell>
          <cell r="Z85">
            <v>9.6</v>
          </cell>
          <cell r="AA85">
            <v>9</v>
          </cell>
        </row>
        <row r="86">
          <cell r="H86" t="str">
            <v>Crossmax 250-CT7-QDJ</v>
          </cell>
        </row>
        <row r="86">
          <cell r="X86">
            <v>1.4</v>
          </cell>
          <cell r="Y86">
            <v>16.6</v>
          </cell>
          <cell r="Z86">
            <v>9.2</v>
          </cell>
          <cell r="AA86">
            <v>8.8</v>
          </cell>
        </row>
        <row r="87">
          <cell r="H87" t="str">
            <v>CT7-QDJ-250z 250 Sz</v>
          </cell>
        </row>
        <row r="87">
          <cell r="X87">
            <v>1.5</v>
          </cell>
          <cell r="Y87">
            <v>17.6</v>
          </cell>
          <cell r="Z87">
            <v>9.6</v>
          </cell>
          <cell r="AA87">
            <v>8.8</v>
          </cell>
        </row>
        <row r="88">
          <cell r="H88" t="str">
            <v>Tc250-CT7-QDJ</v>
          </cell>
        </row>
        <row r="88">
          <cell r="X88">
            <v>1.3</v>
          </cell>
          <cell r="Y88">
            <v>17.4</v>
          </cell>
          <cell r="Z88">
            <v>9.4</v>
          </cell>
          <cell r="AA88">
            <v>9</v>
          </cell>
        </row>
        <row r="89">
          <cell r="H89" t="str">
            <v>Vento Tornado 250-CT7-QDJ</v>
          </cell>
        </row>
        <row r="89">
          <cell r="X89">
            <v>1.3</v>
          </cell>
          <cell r="Y89">
            <v>16.8</v>
          </cell>
          <cell r="Z89">
            <v>8.8</v>
          </cell>
          <cell r="AA89">
            <v>9.4</v>
          </cell>
        </row>
        <row r="90">
          <cell r="H90" t="str">
            <v>CT7-LLTZ-En125-118L</v>
          </cell>
        </row>
        <row r="90">
          <cell r="X90">
            <v>2.1</v>
          </cell>
          <cell r="Y90">
            <v>18.8</v>
          </cell>
          <cell r="Z90">
            <v>18.6</v>
          </cell>
          <cell r="AA90">
            <v>3.6</v>
          </cell>
        </row>
        <row r="91">
          <cell r="H91" t="str">
            <v>CT7-LLTZ-FT125-116L-C</v>
          </cell>
        </row>
        <row r="91">
          <cell r="X91">
            <v>1.7</v>
          </cell>
          <cell r="Y91">
            <v>19.2</v>
          </cell>
          <cell r="Z91">
            <v>19</v>
          </cell>
          <cell r="AA91">
            <v>3.4</v>
          </cell>
        </row>
        <row r="92">
          <cell r="H92" t="str">
            <v>CT7-LLTZ-BM150-128L-C</v>
          </cell>
        </row>
        <row r="92">
          <cell r="X92">
            <v>2.1</v>
          </cell>
          <cell r="Y92">
            <v>19.4</v>
          </cell>
          <cell r="Z92">
            <v>19.4</v>
          </cell>
          <cell r="AA92">
            <v>3.6</v>
          </cell>
        </row>
        <row r="93">
          <cell r="H93" t="str">
            <v>CT7-LLTZ-Ft200/Rt180-128L-C</v>
          </cell>
        </row>
        <row r="93">
          <cell r="X93">
            <v>2.1</v>
          </cell>
          <cell r="Y93">
            <v>19</v>
          </cell>
          <cell r="Z93">
            <v>19.4</v>
          </cell>
          <cell r="AA93">
            <v>3.6</v>
          </cell>
        </row>
        <row r="94">
          <cell r="H94" t="str">
            <v>CT7-LLTZ-CGL125-112L-B</v>
          </cell>
        </row>
        <row r="94">
          <cell r="X94">
            <v>2.2</v>
          </cell>
          <cell r="Y94">
            <v>20</v>
          </cell>
          <cell r="Z94">
            <v>20</v>
          </cell>
          <cell r="AA94">
            <v>5</v>
          </cell>
        </row>
        <row r="95">
          <cell r="H95" t="str">
            <v>CT7-LLTZ-FT125-102L-B</v>
          </cell>
        </row>
        <row r="95">
          <cell r="X95">
            <v>2.2</v>
          </cell>
          <cell r="Y95">
            <v>20</v>
          </cell>
          <cell r="Z95">
            <v>20</v>
          </cell>
          <cell r="AA95">
            <v>5</v>
          </cell>
        </row>
        <row r="96">
          <cell r="H96" t="str">
            <v>CT7-LLTZ-Veloci Razzer 200cc 20-23-124L-C</v>
          </cell>
        </row>
        <row r="96">
          <cell r="X96">
            <v>2.2</v>
          </cell>
          <cell r="Y96">
            <v>19</v>
          </cell>
          <cell r="Z96">
            <v>19.2</v>
          </cell>
          <cell r="AA96">
            <v>3.4</v>
          </cell>
        </row>
        <row r="97">
          <cell r="H97" t="str">
            <v>CT7-LLTZ-Lithium 150cc-102L-C</v>
          </cell>
        </row>
        <row r="97">
          <cell r="X97">
            <v>1.7</v>
          </cell>
          <cell r="Y97">
            <v>19</v>
          </cell>
          <cell r="Z97">
            <v>19</v>
          </cell>
          <cell r="AA97">
            <v>3.4</v>
          </cell>
        </row>
        <row r="98">
          <cell r="H98" t="str">
            <v>CT7-LLTZ-200z-126L</v>
          </cell>
        </row>
        <row r="98">
          <cell r="X98">
            <v>2.1</v>
          </cell>
          <cell r="Y98">
            <v>19.2</v>
          </cell>
          <cell r="Z98">
            <v>18.8</v>
          </cell>
          <cell r="AA98">
            <v>3.6</v>
          </cell>
        </row>
        <row r="99">
          <cell r="H99" t="str">
            <v>CT7-LLTZ-AT110-100L</v>
          </cell>
        </row>
        <row r="99">
          <cell r="X99">
            <v>1.7</v>
          </cell>
          <cell r="Y99">
            <v>18.6</v>
          </cell>
          <cell r="Z99">
            <v>19.2</v>
          </cell>
          <cell r="AA99">
            <v>3.4</v>
          </cell>
        </row>
        <row r="100">
          <cell r="H100" t="str">
            <v>CT7-LLTZ-CB190-120L</v>
          </cell>
        </row>
        <row r="100">
          <cell r="X100">
            <v>2.3</v>
          </cell>
          <cell r="Y100">
            <v>19.2</v>
          </cell>
          <cell r="Z100">
            <v>19.2</v>
          </cell>
          <cell r="AA100">
            <v>4.4</v>
          </cell>
        </row>
        <row r="101">
          <cell r="H101" t="str">
            <v>CT7-LLTZ-DM150-130L</v>
          </cell>
        </row>
        <row r="101">
          <cell r="X101">
            <v>2.2</v>
          </cell>
          <cell r="Y101">
            <v>20</v>
          </cell>
          <cell r="Z101">
            <v>20</v>
          </cell>
          <cell r="AA101">
            <v>5</v>
          </cell>
        </row>
        <row r="102">
          <cell r="H102" t="str">
            <v>CT7-LLTZ-DM150-132L</v>
          </cell>
        </row>
        <row r="102">
          <cell r="X102">
            <v>3.1</v>
          </cell>
          <cell r="Y102">
            <v>24.4</v>
          </cell>
          <cell r="Z102">
            <v>24.6</v>
          </cell>
          <cell r="AA102">
            <v>3.8</v>
          </cell>
        </row>
        <row r="103">
          <cell r="H103" t="str">
            <v>CT7-LLTZ-DM200-128L</v>
          </cell>
        </row>
        <row r="103">
          <cell r="X103">
            <v>2.2</v>
          </cell>
          <cell r="Y103">
            <v>24.2</v>
          </cell>
          <cell r="Z103">
            <v>24.2</v>
          </cell>
          <cell r="AA103">
            <v>3.4</v>
          </cell>
        </row>
        <row r="104">
          <cell r="H104" t="str">
            <v>CT7-LLTZ-DT150-108L</v>
          </cell>
        </row>
        <row r="104">
          <cell r="X104">
            <v>1.9</v>
          </cell>
          <cell r="Y104">
            <v>19.2</v>
          </cell>
          <cell r="Z104">
            <v>19</v>
          </cell>
          <cell r="AA104">
            <v>3.2</v>
          </cell>
        </row>
        <row r="105">
          <cell r="H105" t="str">
            <v>CT7-LLTZ-FT250-126L</v>
          </cell>
        </row>
        <row r="105">
          <cell r="X105">
            <v>2.2</v>
          </cell>
          <cell r="Y105">
            <v>20</v>
          </cell>
          <cell r="Z105">
            <v>20</v>
          </cell>
          <cell r="AA105">
            <v>5</v>
          </cell>
        </row>
        <row r="106">
          <cell r="H106" t="str">
            <v>CT7-LLTZ-FT250-128L</v>
          </cell>
        </row>
        <row r="106">
          <cell r="X106">
            <v>2.2</v>
          </cell>
          <cell r="Y106">
            <v>18.6</v>
          </cell>
          <cell r="Z106">
            <v>19.6</v>
          </cell>
          <cell r="AA106">
            <v>3.4</v>
          </cell>
        </row>
        <row r="107">
          <cell r="H107" t="str">
            <v>CT7-LLTZ-Gixxer 155cc-132L</v>
          </cell>
        </row>
        <row r="107">
          <cell r="X107">
            <v>2.4</v>
          </cell>
          <cell r="Y107">
            <v>18.6</v>
          </cell>
          <cell r="Z107">
            <v>19.2</v>
          </cell>
          <cell r="AA107">
            <v>3.2</v>
          </cell>
        </row>
        <row r="108">
          <cell r="H108" t="str">
            <v>CT7-LLTZ-GL150-120L</v>
          </cell>
        </row>
        <row r="108">
          <cell r="X108">
            <v>2.2</v>
          </cell>
          <cell r="Y108">
            <v>20</v>
          </cell>
          <cell r="Z108">
            <v>20</v>
          </cell>
          <cell r="AA108">
            <v>5</v>
          </cell>
        </row>
        <row r="109">
          <cell r="H109" t="str">
            <v>CT7-LLTZ-Ns160-136L-o-ring</v>
          </cell>
        </row>
        <row r="109">
          <cell r="X109">
            <v>2.5</v>
          </cell>
          <cell r="Y109">
            <v>24.2</v>
          </cell>
          <cell r="Z109">
            <v>24.2</v>
          </cell>
          <cell r="AA109">
            <v>3.6</v>
          </cell>
        </row>
        <row r="110">
          <cell r="H110" t="str">
            <v>CT7-LLTZ-RC150-118L</v>
          </cell>
        </row>
        <row r="110">
          <cell r="X110">
            <v>2.2</v>
          </cell>
          <cell r="Y110">
            <v>20</v>
          </cell>
          <cell r="Z110">
            <v>20</v>
          </cell>
          <cell r="AA110">
            <v>5</v>
          </cell>
        </row>
        <row r="111">
          <cell r="H111" t="str">
            <v>CT7-LLTZ-RC150-122L</v>
          </cell>
        </row>
        <row r="111">
          <cell r="X111">
            <v>2</v>
          </cell>
          <cell r="Y111">
            <v>19.2</v>
          </cell>
          <cell r="Z111">
            <v>19</v>
          </cell>
          <cell r="AA111">
            <v>3.6</v>
          </cell>
        </row>
        <row r="112">
          <cell r="H112" t="str">
            <v>CT7-LLTZ-Rt200-132L</v>
          </cell>
        </row>
        <row r="112">
          <cell r="X112">
            <v>2.5</v>
          </cell>
          <cell r="Y112">
            <v>24.6</v>
          </cell>
          <cell r="Z112">
            <v>24.4</v>
          </cell>
          <cell r="AA112">
            <v>4</v>
          </cell>
        </row>
        <row r="113">
          <cell r="H113" t="str">
            <v>CT7-LLTZ-Tc200-106L</v>
          </cell>
        </row>
        <row r="113">
          <cell r="X113">
            <v>2.1</v>
          </cell>
          <cell r="Y113">
            <v>19</v>
          </cell>
          <cell r="Z113">
            <v>19.2</v>
          </cell>
          <cell r="AA113">
            <v>4</v>
          </cell>
        </row>
        <row r="114">
          <cell r="H114" t="str">
            <v>CT7-LLTZ-Tc200-110L</v>
          </cell>
        </row>
        <row r="114">
          <cell r="X114">
            <v>2.2</v>
          </cell>
          <cell r="Y114">
            <v>20</v>
          </cell>
          <cell r="Z114">
            <v>20</v>
          </cell>
          <cell r="AA114">
            <v>5</v>
          </cell>
        </row>
        <row r="115">
          <cell r="H115" t="str">
            <v>CT7-LLTZ-Veloci Xeverus 250 Reforzada-132L</v>
          </cell>
        </row>
        <row r="115">
          <cell r="X115">
            <v>2.6</v>
          </cell>
          <cell r="Y115">
            <v>24.4</v>
          </cell>
          <cell r="Z115">
            <v>24.4</v>
          </cell>
          <cell r="AA115">
            <v>3.6</v>
          </cell>
        </row>
        <row r="116">
          <cell r="H116" t="str">
            <v>CT7-LLTZ-Vento Crossmax 250-130L</v>
          </cell>
        </row>
        <row r="116">
          <cell r="X116">
            <v>2.6</v>
          </cell>
          <cell r="Y116">
            <v>24.2</v>
          </cell>
          <cell r="Z116">
            <v>24</v>
          </cell>
          <cell r="AA116">
            <v>3.6</v>
          </cell>
        </row>
        <row r="117">
          <cell r="H117" t="str">
            <v>CT7-LLTZ-Vento Cyclone 150-116L</v>
          </cell>
        </row>
        <row r="117">
          <cell r="X117">
            <v>2.1</v>
          </cell>
          <cell r="Y117">
            <v>19.4</v>
          </cell>
          <cell r="Z117">
            <v>19.4</v>
          </cell>
          <cell r="AA117">
            <v>3.6</v>
          </cell>
        </row>
        <row r="118">
          <cell r="H118" t="str">
            <v>CT7-LLTZ-Xtz125-132L</v>
          </cell>
        </row>
        <row r="118">
          <cell r="X118">
            <v>2.6</v>
          </cell>
          <cell r="Y118">
            <v>24.6</v>
          </cell>
          <cell r="Z118">
            <v>24.2</v>
          </cell>
          <cell r="AA118">
            <v>4</v>
          </cell>
        </row>
        <row r="119">
          <cell r="H119" t="str">
            <v>CT7-YFLT-520H-120L</v>
          </cell>
        </row>
        <row r="119">
          <cell r="X119">
            <v>2.4</v>
          </cell>
          <cell r="Y119">
            <v>27.8</v>
          </cell>
          <cell r="Z119">
            <v>12.2</v>
          </cell>
          <cell r="AA119">
            <v>3.2</v>
          </cell>
        </row>
        <row r="120">
          <cell r="H120" t="str">
            <v>CT7-YFLT-428H-136L</v>
          </cell>
        </row>
        <row r="120">
          <cell r="X120">
            <v>1.6</v>
          </cell>
          <cell r="Y120">
            <v>23.2</v>
          </cell>
          <cell r="Z120">
            <v>8.8</v>
          </cell>
          <cell r="AA120">
            <v>2.6</v>
          </cell>
        </row>
        <row r="121">
          <cell r="H121" t="str">
            <v>CT7-MTCHSJ-DS150</v>
          </cell>
        </row>
        <row r="121">
          <cell r="X121">
            <v>0.46</v>
          </cell>
          <cell r="Y121">
            <v>32.6</v>
          </cell>
          <cell r="Z121">
            <v>12.8</v>
          </cell>
          <cell r="AA121">
            <v>6</v>
          </cell>
        </row>
        <row r="122">
          <cell r="H122" t="str">
            <v>CT7-TLZ-FT125</v>
          </cell>
        </row>
        <row r="122">
          <cell r="X122">
            <v>0.44</v>
          </cell>
          <cell r="Y122">
            <v>12.4</v>
          </cell>
          <cell r="Z122">
            <v>8.6</v>
          </cell>
          <cell r="AA122">
            <v>6.6</v>
          </cell>
        </row>
        <row r="123">
          <cell r="H123" t="str">
            <v>CT7-QJZ-vento Rocketman 250</v>
          </cell>
        </row>
        <row r="123">
          <cell r="X123">
            <v>5.56</v>
          </cell>
          <cell r="Y123">
            <v>80</v>
          </cell>
          <cell r="Z123">
            <v>12</v>
          </cell>
          <cell r="AA123">
            <v>8</v>
          </cell>
        </row>
        <row r="124">
          <cell r="H124" t="str">
            <v>CT7-QBZ-FT125 FT150</v>
          </cell>
        </row>
        <row r="124">
          <cell r="X124">
            <v>3.5</v>
          </cell>
          <cell r="Y124">
            <v>72</v>
          </cell>
          <cell r="Z124">
            <v>14.6</v>
          </cell>
          <cell r="AA124">
            <v>7</v>
          </cell>
        </row>
        <row r="125">
          <cell r="H125" t="str">
            <v>CT7-QBZ-DT150 SPORT</v>
          </cell>
        </row>
        <row r="125">
          <cell r="X125">
            <v>5.1</v>
          </cell>
          <cell r="Y125">
            <v>77.9</v>
          </cell>
          <cell r="Z125">
            <v>13.5</v>
          </cell>
          <cell r="AA125">
            <v>6.7</v>
          </cell>
        </row>
        <row r="126">
          <cell r="H126" t="str">
            <v>CT7-QBZ-FT250 TS</v>
          </cell>
        </row>
        <row r="126">
          <cell r="X126">
            <v>5</v>
          </cell>
          <cell r="Y126">
            <v>78.1</v>
          </cell>
          <cell r="Z126">
            <v>13.8</v>
          </cell>
          <cell r="AA126">
            <v>6.4</v>
          </cell>
        </row>
        <row r="127">
          <cell r="H127" t="str">
            <v>CT7-QBZ-250Z</v>
          </cell>
        </row>
        <row r="127">
          <cell r="X127">
            <v>6.8</v>
          </cell>
          <cell r="Y127">
            <v>17.8</v>
          </cell>
          <cell r="Z127">
            <v>7.2</v>
          </cell>
          <cell r="AA127">
            <v>83</v>
          </cell>
        </row>
        <row r="128">
          <cell r="H128" t="str">
            <v>CT7-QBZ-150Z 170Z 200Z</v>
          </cell>
        </row>
        <row r="128">
          <cell r="X128">
            <v>3.52</v>
          </cell>
          <cell r="Y128">
            <v>80</v>
          </cell>
          <cell r="Z128">
            <v>12</v>
          </cell>
          <cell r="AA128">
            <v>6</v>
          </cell>
        </row>
        <row r="129">
          <cell r="H129" t="str">
            <v>CT7-QBZ-DM200</v>
          </cell>
        </row>
        <row r="129">
          <cell r="X129">
            <v>6.3</v>
          </cell>
          <cell r="Y129">
            <v>93.2</v>
          </cell>
          <cell r="Z129">
            <v>14</v>
          </cell>
          <cell r="AA129">
            <v>6.6</v>
          </cell>
        </row>
        <row r="130">
          <cell r="H130" t="str">
            <v>CT7-QBZ-Xr125 Xr150</v>
          </cell>
        </row>
        <row r="130">
          <cell r="X130">
            <v>5.9</v>
          </cell>
          <cell r="Y130">
            <v>93</v>
          </cell>
          <cell r="Z130">
            <v>15.2</v>
          </cell>
          <cell r="AA130">
            <v>5.6</v>
          </cell>
        </row>
        <row r="131">
          <cell r="H131" t="str">
            <v>CT7-QBZ-Cargo 150 Gl150</v>
          </cell>
        </row>
        <row r="131">
          <cell r="X131">
            <v>5.1</v>
          </cell>
          <cell r="Y131">
            <v>76</v>
          </cell>
          <cell r="Z131">
            <v>13</v>
          </cell>
          <cell r="AA131">
            <v>5.8</v>
          </cell>
        </row>
        <row r="132">
          <cell r="H132" t="str">
            <v>CT7-QBZ-FZ16 FZ 2.0</v>
          </cell>
        </row>
        <row r="132">
          <cell r="X132">
            <v>6.9</v>
          </cell>
          <cell r="Y132">
            <v>84.8</v>
          </cell>
          <cell r="Z132">
            <v>20.6</v>
          </cell>
          <cell r="AA132">
            <v>7.6</v>
          </cell>
        </row>
        <row r="133">
          <cell r="H133" t="str">
            <v>CT7-QBZ-125Z</v>
          </cell>
        </row>
        <row r="133">
          <cell r="X133">
            <v>4.8</v>
          </cell>
          <cell r="Y133">
            <v>76.6</v>
          </cell>
          <cell r="Z133">
            <v>13.4</v>
          </cell>
          <cell r="AA133">
            <v>5.8</v>
          </cell>
        </row>
        <row r="134">
          <cell r="H134" t="str">
            <v>CT7-QBZ-CGL125</v>
          </cell>
        </row>
        <row r="134">
          <cell r="X134">
            <v>5</v>
          </cell>
          <cell r="Y134">
            <v>77.6</v>
          </cell>
          <cell r="Z134">
            <v>12.8</v>
          </cell>
          <cell r="AA134">
            <v>6.2</v>
          </cell>
        </row>
        <row r="135">
          <cell r="H135" t="str">
            <v>FS001-1K0121205AB-CT7</v>
          </cell>
        </row>
        <row r="135">
          <cell r="X135">
            <v>5.9</v>
          </cell>
          <cell r="Y135">
            <v>76.2</v>
          </cell>
          <cell r="Z135">
            <v>54</v>
          </cell>
          <cell r="AA135">
            <v>15</v>
          </cell>
        </row>
        <row r="136">
          <cell r="H136" t="str">
            <v>FS002-1KM-959-455G-CT7</v>
          </cell>
        </row>
        <row r="136">
          <cell r="X136">
            <v>2.8</v>
          </cell>
          <cell r="Y136">
            <v>39</v>
          </cell>
          <cell r="Z136">
            <v>39.2</v>
          </cell>
          <cell r="AA136">
            <v>12.2</v>
          </cell>
        </row>
        <row r="137">
          <cell r="H137" t="str">
            <v>CT7-HBZ-Xeverus 250</v>
          </cell>
        </row>
        <row r="137">
          <cell r="X137">
            <v>3.2</v>
          </cell>
          <cell r="Y137">
            <v>36</v>
          </cell>
          <cell r="Z137">
            <v>9.2</v>
          </cell>
          <cell r="AA137">
            <v>8.2</v>
          </cell>
        </row>
        <row r="138">
          <cell r="H138" t="str">
            <v>CT7-HBZ-Ft200 Dt250 Rt180</v>
          </cell>
        </row>
        <row r="138">
          <cell r="X138">
            <v>2.8</v>
          </cell>
          <cell r="Y138">
            <v>38.6</v>
          </cell>
          <cell r="Z138">
            <v>13.2</v>
          </cell>
          <cell r="AA138">
            <v>6.2</v>
          </cell>
        </row>
        <row r="139">
          <cell r="H139" t="str">
            <v>CT7-HBZ-Crossmax 150 170 200 220 250</v>
          </cell>
        </row>
        <row r="139">
          <cell r="X139">
            <v>3</v>
          </cell>
          <cell r="Y139">
            <v>33.4</v>
          </cell>
          <cell r="Z139">
            <v>8.6</v>
          </cell>
          <cell r="AA139">
            <v>8.4</v>
          </cell>
        </row>
        <row r="140">
          <cell r="H140" t="str">
            <v>CT7-HBZ-Gn125</v>
          </cell>
        </row>
        <row r="140">
          <cell r="X140">
            <v>2.7</v>
          </cell>
          <cell r="Y140">
            <v>38.8</v>
          </cell>
          <cell r="Z140">
            <v>14.4</v>
          </cell>
          <cell r="AA140">
            <v>6.6</v>
          </cell>
        </row>
        <row r="141">
          <cell r="H141" t="str">
            <v>Vento Crossmax 200 250-HSCB-CT7</v>
          </cell>
        </row>
        <row r="141">
          <cell r="X141">
            <v>1.5</v>
          </cell>
          <cell r="Y141">
            <v>25</v>
          </cell>
          <cell r="Z141">
            <v>9</v>
          </cell>
          <cell r="AA141">
            <v>7</v>
          </cell>
        </row>
        <row r="142">
          <cell r="H142" t="str">
            <v>Reptile 150 200-SCG-CT7</v>
          </cell>
        </row>
        <row r="142">
          <cell r="X142">
            <v>2.2</v>
          </cell>
          <cell r="Y142">
            <v>15.6</v>
          </cell>
          <cell r="Z142">
            <v>16</v>
          </cell>
          <cell r="AA142">
            <v>15.6</v>
          </cell>
        </row>
        <row r="143">
          <cell r="H143" t="str">
            <v>170z 200z 250z-HSCKQ-CT7</v>
          </cell>
        </row>
        <row r="143">
          <cell r="X143">
            <v>1.2</v>
          </cell>
          <cell r="Y143">
            <v>20.8</v>
          </cell>
          <cell r="Z143">
            <v>16.6</v>
          </cell>
          <cell r="AA143">
            <v>9.6</v>
          </cell>
        </row>
        <row r="144">
          <cell r="H144" t="str">
            <v>CT7-HSCKQ-DM250X</v>
          </cell>
        </row>
        <row r="144">
          <cell r="X144">
            <v>1.5</v>
          </cell>
          <cell r="Y144">
            <v>15</v>
          </cell>
          <cell r="Z144">
            <v>15</v>
          </cell>
          <cell r="AA144">
            <v>9</v>
          </cell>
        </row>
        <row r="145">
          <cell r="H145" t="str">
            <v>CT7-HSCKQ-Crossmax 250</v>
          </cell>
        </row>
        <row r="145">
          <cell r="X145">
            <v>1.5</v>
          </cell>
          <cell r="Y145">
            <v>15</v>
          </cell>
          <cell r="Z145">
            <v>15</v>
          </cell>
          <cell r="AA145">
            <v>9</v>
          </cell>
        </row>
        <row r="146">
          <cell r="H146" t="str">
            <v>CT7-HJTZC-150z</v>
          </cell>
        </row>
        <row r="146">
          <cell r="X146">
            <v>1.5</v>
          </cell>
          <cell r="Y146">
            <v>20</v>
          </cell>
          <cell r="Z146">
            <v>10</v>
          </cell>
          <cell r="AA146">
            <v>5</v>
          </cell>
        </row>
        <row r="147">
          <cell r="H147" t="str">
            <v>CT7-HJTZC-Vitalia 150</v>
          </cell>
        </row>
        <row r="147">
          <cell r="X147">
            <v>1.5</v>
          </cell>
          <cell r="Y147">
            <v>20</v>
          </cell>
          <cell r="Z147">
            <v>10</v>
          </cell>
          <cell r="AA147">
            <v>5</v>
          </cell>
        </row>
        <row r="148">
          <cell r="H148" t="str">
            <v>CT7-HJTZC-170z</v>
          </cell>
        </row>
        <row r="148">
          <cell r="X148">
            <v>1.5</v>
          </cell>
          <cell r="Y148">
            <v>20</v>
          </cell>
          <cell r="Z148">
            <v>10</v>
          </cell>
          <cell r="AA148">
            <v>5</v>
          </cell>
        </row>
        <row r="149">
          <cell r="H149" t="str">
            <v>CT7-HJTZCTZ-FZ16</v>
          </cell>
        </row>
        <row r="149">
          <cell r="X149">
            <v>1.5</v>
          </cell>
          <cell r="Y149">
            <v>20</v>
          </cell>
          <cell r="Z149">
            <v>10</v>
          </cell>
          <cell r="AA149">
            <v>5</v>
          </cell>
        </row>
        <row r="150">
          <cell r="H150" t="str">
            <v>CT7-HJTZC-Gn125 En125</v>
          </cell>
        </row>
        <row r="150">
          <cell r="X150">
            <v>1.5</v>
          </cell>
          <cell r="Y150">
            <v>20</v>
          </cell>
          <cell r="Z150">
            <v>10</v>
          </cell>
          <cell r="AA150">
            <v>5</v>
          </cell>
        </row>
        <row r="151">
          <cell r="H151" t="str">
            <v>CT7-HJTZC-Veloci Xeverus 250</v>
          </cell>
        </row>
        <row r="151">
          <cell r="X151">
            <v>1.5</v>
          </cell>
          <cell r="Y151">
            <v>20</v>
          </cell>
          <cell r="Z151">
            <v>10</v>
          </cell>
          <cell r="AA151">
            <v>5</v>
          </cell>
        </row>
        <row r="152">
          <cell r="H152" t="str">
            <v>NS200-CT7-QHSCTZ</v>
          </cell>
        </row>
        <row r="152">
          <cell r="X152">
            <v>0.25</v>
          </cell>
          <cell r="Y152">
            <v>20</v>
          </cell>
          <cell r="Z152">
            <v>5</v>
          </cell>
          <cell r="AA152">
            <v>3</v>
          </cell>
        </row>
        <row r="153">
          <cell r="H153" t="str">
            <v>N250-CT7-SCP</v>
          </cell>
        </row>
        <row r="153">
          <cell r="X153">
            <v>0.25</v>
          </cell>
          <cell r="Y153">
            <v>20</v>
          </cell>
          <cell r="Z153">
            <v>10</v>
          </cell>
          <cell r="AA153">
            <v>3</v>
          </cell>
        </row>
        <row r="154">
          <cell r="H154" t="str">
            <v>170Z-CT7-SCP</v>
          </cell>
        </row>
        <row r="154">
          <cell r="X154">
            <v>0.25</v>
          </cell>
          <cell r="Y154">
            <v>20</v>
          </cell>
          <cell r="Z154">
            <v>5</v>
          </cell>
          <cell r="AA154">
            <v>3</v>
          </cell>
        </row>
        <row r="155">
          <cell r="H155" t="str">
            <v>N250-CT7-QHSCTZ</v>
          </cell>
        </row>
        <row r="155">
          <cell r="X155">
            <v>0.25</v>
          </cell>
          <cell r="Y155">
            <v>20</v>
          </cell>
          <cell r="Z155">
            <v>5</v>
          </cell>
          <cell r="AA155">
            <v>3</v>
          </cell>
        </row>
        <row r="156">
          <cell r="H156" t="str">
            <v>CT7-TYSCP</v>
          </cell>
        </row>
        <row r="156">
          <cell r="X156">
            <v>0.25</v>
          </cell>
          <cell r="Y156">
            <v>20</v>
          </cell>
          <cell r="Z156">
            <v>10</v>
          </cell>
          <cell r="AA156">
            <v>3</v>
          </cell>
        </row>
        <row r="157">
          <cell r="H157" t="str">
            <v>CT7-SCP-DM200</v>
          </cell>
        </row>
        <row r="157">
          <cell r="X157">
            <v>0.25</v>
          </cell>
          <cell r="Y157">
            <v>20</v>
          </cell>
          <cell r="Z157">
            <v>10</v>
          </cell>
          <cell r="AA157">
            <v>3</v>
          </cell>
        </row>
        <row r="158">
          <cell r="H158" t="str">
            <v>ATV150-CT7-SCP</v>
          </cell>
        </row>
        <row r="158">
          <cell r="X158">
            <v>0.25</v>
          </cell>
          <cell r="Y158">
            <v>10</v>
          </cell>
          <cell r="Z158">
            <v>5</v>
          </cell>
          <cell r="AA158">
            <v>3</v>
          </cell>
        </row>
        <row r="159">
          <cell r="H159" t="str">
            <v>CT7-SCP-Vortx200/250</v>
          </cell>
        </row>
        <row r="159">
          <cell r="X159">
            <v>0.25</v>
          </cell>
          <cell r="Y159">
            <v>20</v>
          </cell>
          <cell r="Z159">
            <v>10</v>
          </cell>
          <cell r="AA159">
            <v>3</v>
          </cell>
        </row>
        <row r="160">
          <cell r="H160" t="str">
            <v>150Z-CT7-LHP</v>
          </cell>
        </row>
        <row r="160">
          <cell r="X160">
            <v>0.16</v>
          </cell>
          <cell r="Y160">
            <v>12</v>
          </cell>
          <cell r="Z160">
            <v>12</v>
          </cell>
          <cell r="AA160">
            <v>1.9</v>
          </cell>
        </row>
        <row r="161">
          <cell r="H161" t="str">
            <v>Vento Rocketman 250-CT7-LHP</v>
          </cell>
        </row>
        <row r="161">
          <cell r="X161">
            <v>0.32</v>
          </cell>
          <cell r="Y161">
            <v>12</v>
          </cell>
          <cell r="Z161">
            <v>12</v>
          </cell>
          <cell r="AA161">
            <v>3.2</v>
          </cell>
        </row>
        <row r="162">
          <cell r="H162" t="str">
            <v>FT110-CT7-HQZC</v>
          </cell>
        </row>
        <row r="162">
          <cell r="X162">
            <v>1.4</v>
          </cell>
          <cell r="Y162">
            <v>14</v>
          </cell>
          <cell r="Z162">
            <v>14</v>
          </cell>
          <cell r="AA162">
            <v>7</v>
          </cell>
        </row>
        <row r="163">
          <cell r="H163" t="str">
            <v>CS125-CT7-HQZC</v>
          </cell>
        </row>
        <row r="163">
          <cell r="X163">
            <v>3.05</v>
          </cell>
          <cell r="Y163">
            <v>14.5</v>
          </cell>
          <cell r="Z163">
            <v>14.5</v>
          </cell>
          <cell r="AA163">
            <v>8.7</v>
          </cell>
        </row>
        <row r="164">
          <cell r="H164" t="str">
            <v>CT7-MP001-125cc 150cc</v>
          </cell>
        </row>
        <row r="164">
          <cell r="X164">
            <v>4.5</v>
          </cell>
          <cell r="Y164">
            <v>25</v>
          </cell>
          <cell r="Z164">
            <v>25</v>
          </cell>
          <cell r="AA164">
            <v>25</v>
          </cell>
        </row>
        <row r="165">
          <cell r="H165" t="str">
            <v>CT7-MP002-Ybr125</v>
          </cell>
        </row>
        <row r="165">
          <cell r="X165">
            <v>4.5</v>
          </cell>
          <cell r="Y165">
            <v>25</v>
          </cell>
          <cell r="Z165">
            <v>25</v>
          </cell>
          <cell r="AA165">
            <v>25</v>
          </cell>
        </row>
        <row r="166">
          <cell r="H166" t="str">
            <v>CT7-MP003-Dazon 200cc</v>
          </cell>
        </row>
        <row r="166">
          <cell r="X166">
            <v>4.5</v>
          </cell>
          <cell r="Y166">
            <v>25</v>
          </cell>
          <cell r="Z166">
            <v>25</v>
          </cell>
          <cell r="AA166">
            <v>25</v>
          </cell>
        </row>
        <row r="167">
          <cell r="H167" t="str">
            <v>CT7-MP004-Ns 160 19-24</v>
          </cell>
        </row>
        <row r="167">
          <cell r="X167">
            <v>4.5</v>
          </cell>
          <cell r="Y167">
            <v>25</v>
          </cell>
          <cell r="Z167">
            <v>25</v>
          </cell>
          <cell r="AA167">
            <v>25</v>
          </cell>
        </row>
        <row r="168">
          <cell r="H168" t="str">
            <v>CT7-MP005-Pulsar Ns200</v>
          </cell>
        </row>
        <row r="168">
          <cell r="X168">
            <v>4.5</v>
          </cell>
          <cell r="Y168">
            <v>25</v>
          </cell>
          <cell r="Z168">
            <v>25</v>
          </cell>
          <cell r="AA168">
            <v>25</v>
          </cell>
        </row>
        <row r="169">
          <cell r="H169" t="str">
            <v>CT7-MP006- Rt250 Sport 250z Dm250</v>
          </cell>
        </row>
        <row r="169">
          <cell r="X169">
            <v>4.5</v>
          </cell>
          <cell r="Y169">
            <v>25</v>
          </cell>
          <cell r="Z169">
            <v>25</v>
          </cell>
          <cell r="AA169">
            <v>25</v>
          </cell>
        </row>
        <row r="170">
          <cell r="H170" t="str">
            <v>CT7-MP007-Vento Tornado/rocketman 250</v>
          </cell>
        </row>
        <row r="170">
          <cell r="X170">
            <v>4.5</v>
          </cell>
          <cell r="Y170">
            <v>25</v>
          </cell>
          <cell r="Z170">
            <v>25</v>
          </cell>
          <cell r="AA170">
            <v>25</v>
          </cell>
        </row>
        <row r="171">
          <cell r="H171" t="str">
            <v>CT7-MP008-Dm150</v>
          </cell>
        </row>
        <row r="171">
          <cell r="X171">
            <v>4.5</v>
          </cell>
          <cell r="Y171">
            <v>25</v>
          </cell>
          <cell r="Z171">
            <v>25</v>
          </cell>
          <cell r="AA171">
            <v>25</v>
          </cell>
        </row>
        <row r="172">
          <cell r="H172" t="str">
            <v>CT7-MP026-Dm250</v>
          </cell>
        </row>
        <row r="172">
          <cell r="X172">
            <v>2</v>
          </cell>
          <cell r="Y172">
            <v>15</v>
          </cell>
          <cell r="Z172">
            <v>14</v>
          </cell>
          <cell r="AA172">
            <v>11</v>
          </cell>
        </row>
        <row r="173">
          <cell r="H173" t="str">
            <v>CT7-MP027-Xtz125 Yb125 Ybr125</v>
          </cell>
        </row>
        <row r="173">
          <cell r="X173">
            <v>2</v>
          </cell>
          <cell r="Y173">
            <v>17</v>
          </cell>
          <cell r="Z173">
            <v>15</v>
          </cell>
          <cell r="AA173">
            <v>11</v>
          </cell>
        </row>
        <row r="174">
          <cell r="H174" t="str">
            <v>CT7-MP028-200z</v>
          </cell>
        </row>
        <row r="174">
          <cell r="X174">
            <v>2</v>
          </cell>
          <cell r="Y174">
            <v>17</v>
          </cell>
          <cell r="Z174">
            <v>15</v>
          </cell>
          <cell r="AA174">
            <v>11</v>
          </cell>
        </row>
        <row r="175">
          <cell r="H175" t="str">
            <v>CT7-MP029-Dinamo 200cc</v>
          </cell>
        </row>
        <row r="175">
          <cell r="X175">
            <v>2</v>
          </cell>
          <cell r="Y175">
            <v>17</v>
          </cell>
          <cell r="Z175">
            <v>15</v>
          </cell>
          <cell r="AA175">
            <v>11</v>
          </cell>
        </row>
        <row r="176">
          <cell r="H176" t="str">
            <v>CT7-MP030-Crossmax 250</v>
          </cell>
        </row>
        <row r="176">
          <cell r="X176">
            <v>2</v>
          </cell>
          <cell r="Y176">
            <v>17</v>
          </cell>
          <cell r="Z176">
            <v>15</v>
          </cell>
          <cell r="AA176">
            <v>11</v>
          </cell>
        </row>
        <row r="177">
          <cell r="H177" t="str">
            <v>CT7-MP031-Gixxer 155</v>
          </cell>
        </row>
        <row r="177">
          <cell r="X177">
            <v>2</v>
          </cell>
          <cell r="Y177">
            <v>17</v>
          </cell>
          <cell r="Z177">
            <v>15</v>
          </cell>
          <cell r="AA177">
            <v>11</v>
          </cell>
        </row>
        <row r="178">
          <cell r="H178" t="str">
            <v>CT7-MP020-Rt180 Ft180 Ft180ts</v>
          </cell>
        </row>
        <row r="178">
          <cell r="X178">
            <v>2</v>
          </cell>
          <cell r="Y178">
            <v>17</v>
          </cell>
          <cell r="Z178">
            <v>15</v>
          </cell>
          <cell r="AA178">
            <v>11</v>
          </cell>
        </row>
        <row r="179">
          <cell r="H179" t="str">
            <v>CT7-MP021-Rs200 As200 Ns200</v>
          </cell>
        </row>
        <row r="179">
          <cell r="X179">
            <v>2</v>
          </cell>
          <cell r="Y179">
            <v>18</v>
          </cell>
          <cell r="Z179">
            <v>16</v>
          </cell>
          <cell r="AA179">
            <v>11</v>
          </cell>
        </row>
        <row r="180">
          <cell r="H180" t="str">
            <v>CT7-MP022-Ft125 Dt125</v>
          </cell>
        </row>
        <row r="180">
          <cell r="X180">
            <v>2</v>
          </cell>
          <cell r="Y180">
            <v>17</v>
          </cell>
          <cell r="Z180">
            <v>15</v>
          </cell>
          <cell r="AA180">
            <v>11</v>
          </cell>
        </row>
        <row r="181">
          <cell r="H181" t="str">
            <v>CT7-MP023-Vgo125 Cs125 D125</v>
          </cell>
        </row>
        <row r="181">
          <cell r="X181">
            <v>2</v>
          </cell>
          <cell r="Y181">
            <v>17</v>
          </cell>
          <cell r="Z181">
            <v>15</v>
          </cell>
          <cell r="AA181">
            <v>11</v>
          </cell>
        </row>
        <row r="182">
          <cell r="H182" t="str">
            <v>CT7-MP024-Gl150 Xr150 Xr150l</v>
          </cell>
        </row>
        <row r="182">
          <cell r="X182">
            <v>2</v>
          </cell>
          <cell r="Y182">
            <v>17</v>
          </cell>
          <cell r="Z182">
            <v>15</v>
          </cell>
          <cell r="AA182">
            <v>11</v>
          </cell>
        </row>
        <row r="183">
          <cell r="H183" t="str">
            <v>CT7-MP025-Xeverus 250cc</v>
          </cell>
        </row>
        <row r="183">
          <cell r="X183">
            <v>2</v>
          </cell>
          <cell r="Y183">
            <v>17</v>
          </cell>
          <cell r="Z183">
            <v>15</v>
          </cell>
          <cell r="AA183">
            <v>11</v>
          </cell>
        </row>
        <row r="184">
          <cell r="H184" t="str">
            <v>XQ5-ECXTC-WL</v>
          </cell>
        </row>
        <row r="184">
          <cell r="X184">
            <v>7</v>
          </cell>
          <cell r="Y184">
            <v>82</v>
          </cell>
          <cell r="Z184">
            <v>44</v>
          </cell>
          <cell r="AA184">
            <v>14</v>
          </cell>
        </row>
        <row r="185">
          <cell r="H185" t="str">
            <v>XQ5-ECXTC-NL</v>
          </cell>
        </row>
        <row r="185">
          <cell r="X185">
            <v>6.4</v>
          </cell>
          <cell r="Y185">
            <v>80</v>
          </cell>
          <cell r="Z185">
            <v>43</v>
          </cell>
          <cell r="AA185">
            <v>19</v>
          </cell>
        </row>
        <row r="186">
          <cell r="H186" t="str">
            <v>XQ5-MZC</v>
          </cell>
        </row>
        <row r="186">
          <cell r="X186">
            <v>8.4</v>
          </cell>
          <cell r="Y186">
            <v>59</v>
          </cell>
          <cell r="Z186">
            <v>43</v>
          </cell>
          <cell r="AA186">
            <v>38</v>
          </cell>
        </row>
        <row r="187">
          <cell r="H187" t="str">
            <v>XQ5-SJTPJ-45*35</v>
          </cell>
        </row>
        <row r="187">
          <cell r="X187">
            <v>4.2</v>
          </cell>
          <cell r="Y187">
            <v>81</v>
          </cell>
          <cell r="Z187">
            <v>46</v>
          </cell>
          <cell r="AA187">
            <v>13</v>
          </cell>
        </row>
        <row r="188">
          <cell r="H188" t="str">
            <v>XQ5-SWZXQ</v>
          </cell>
        </row>
        <row r="188">
          <cell r="X188">
            <v>3</v>
          </cell>
          <cell r="Y188">
            <v>75.6</v>
          </cell>
          <cell r="Z188">
            <v>55.2</v>
          </cell>
          <cell r="AA188">
            <v>8.8</v>
          </cell>
        </row>
        <row r="189">
          <cell r="H189" t="str">
            <v>XQ5-DWZXQ</v>
          </cell>
        </row>
        <row r="189">
          <cell r="X189">
            <v>2.8</v>
          </cell>
          <cell r="Y189">
            <v>77</v>
          </cell>
          <cell r="Z189">
            <v>55.4</v>
          </cell>
          <cell r="AA189">
            <v>8</v>
          </cell>
        </row>
        <row r="190">
          <cell r="H190" t="str">
            <v>XQ5-SWDLDBZXQ</v>
          </cell>
        </row>
        <row r="190">
          <cell r="X190">
            <v>4.4</v>
          </cell>
          <cell r="Y190">
            <v>76</v>
          </cell>
          <cell r="Z190">
            <v>54.8</v>
          </cell>
          <cell r="AA190">
            <v>9.8</v>
          </cell>
        </row>
        <row r="191">
          <cell r="H191" t="str">
            <v>SSDB-XQ5-SYJ</v>
          </cell>
        </row>
        <row r="191">
          <cell r="X191">
            <v>4.2</v>
          </cell>
          <cell r="Y191">
            <v>90</v>
          </cell>
          <cell r="Z191">
            <v>21</v>
          </cell>
          <cell r="AA191">
            <v>11</v>
          </cell>
        </row>
        <row r="192">
          <cell r="H192" t="str">
            <v>ZD-XQ5-SYJ</v>
          </cell>
        </row>
        <row r="192">
          <cell r="X192">
            <v>1.8</v>
          </cell>
          <cell r="Y192">
            <v>60.5</v>
          </cell>
          <cell r="Z192">
            <v>11</v>
          </cell>
          <cell r="AA192">
            <v>11</v>
          </cell>
        </row>
        <row r="193">
          <cell r="H193" t="str">
            <v>XQ5-ZH-LC-YEYJ-Rosa</v>
          </cell>
        </row>
        <row r="193">
          <cell r="X193">
            <v>0</v>
          </cell>
          <cell r="Y193">
            <v>0</v>
          </cell>
          <cell r="Z193">
            <v>0</v>
          </cell>
          <cell r="AA193">
            <v>0</v>
          </cell>
        </row>
        <row r="194">
          <cell r="H194" t="str">
            <v>XQ5-ZH-LC-YEYJ-Azul</v>
          </cell>
        </row>
        <row r="194"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H195" t="str">
            <v>XQ5-ZH-LC-YEYJ-Gris</v>
          </cell>
        </row>
        <row r="195">
          <cell r="X195">
            <v>0</v>
          </cell>
          <cell r="Y195">
            <v>0</v>
          </cell>
          <cell r="Z195">
            <v>0</v>
          </cell>
          <cell r="AA195">
            <v>0</v>
          </cell>
        </row>
        <row r="196">
          <cell r="H196" t="str">
            <v>XQ5-CT7-TYSCYG-Amarillo</v>
          </cell>
        </row>
        <row r="196">
          <cell r="X196">
            <v>0.11</v>
          </cell>
          <cell r="Y196">
            <v>19.6</v>
          </cell>
          <cell r="Z196">
            <v>19</v>
          </cell>
          <cell r="AA196">
            <v>3</v>
          </cell>
        </row>
        <row r="197">
          <cell r="H197" t="str">
            <v>XQ5-CT7-TYSCYG-Negro</v>
          </cell>
        </row>
        <row r="197">
          <cell r="X197">
            <v>0.11</v>
          </cell>
          <cell r="Y197">
            <v>19.4</v>
          </cell>
          <cell r="Z197">
            <v>19</v>
          </cell>
          <cell r="AA197">
            <v>3.2</v>
          </cell>
        </row>
        <row r="198">
          <cell r="H198" t="str">
            <v>XQ5-CT7-TYSCYG-Gris</v>
          </cell>
        </row>
        <row r="198">
          <cell r="X198">
            <v>0</v>
          </cell>
          <cell r="Y198">
            <v>0</v>
          </cell>
          <cell r="Z198">
            <v>0</v>
          </cell>
          <cell r="AA198">
            <v>0</v>
          </cell>
        </row>
        <row r="199">
          <cell r="H199" t="str">
            <v>XQ5-CT7-TYSCYG-Azul</v>
          </cell>
        </row>
        <row r="199">
          <cell r="X199">
            <v>0.1</v>
          </cell>
          <cell r="Y199">
            <v>28.6</v>
          </cell>
          <cell r="Z199">
            <v>21.6</v>
          </cell>
          <cell r="AA199">
            <v>3.2</v>
          </cell>
        </row>
        <row r="200">
          <cell r="H200" t="str">
            <v>XQ5-CT7-LTS-Azul</v>
          </cell>
        </row>
        <row r="200"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H201" t="str">
            <v>XQ5-CT7-LTS-Negro</v>
          </cell>
        </row>
        <row r="201">
          <cell r="X201">
            <v>0</v>
          </cell>
          <cell r="Y201">
            <v>0</v>
          </cell>
          <cell r="Z201">
            <v>0</v>
          </cell>
          <cell r="AA201">
            <v>0</v>
          </cell>
        </row>
        <row r="202">
          <cell r="H202" t="str">
            <v>XQ5-LC-ETXJW5PK-Arco Iris-L</v>
          </cell>
        </row>
        <row r="202">
          <cell r="X202">
            <v>0.08</v>
          </cell>
          <cell r="Y202">
            <v>23.6</v>
          </cell>
          <cell r="Z202">
            <v>18.6</v>
          </cell>
          <cell r="AA202">
            <v>4</v>
          </cell>
        </row>
        <row r="203">
          <cell r="H203" t="str">
            <v>XQ5-LC-ETXJW5PK-Arco Iris-XL</v>
          </cell>
        </row>
        <row r="203">
          <cell r="X203">
            <v>0.12</v>
          </cell>
          <cell r="Y203">
            <v>23.8</v>
          </cell>
          <cell r="Z203">
            <v>21.4</v>
          </cell>
          <cell r="AA203">
            <v>3.6</v>
          </cell>
        </row>
        <row r="204">
          <cell r="H204" t="str">
            <v>XQ5-LC-ETXJW5PK-Flor-L</v>
          </cell>
        </row>
        <row r="204">
          <cell r="X204">
            <v>0.16</v>
          </cell>
          <cell r="Y204">
            <v>23.6</v>
          </cell>
          <cell r="Z204">
            <v>25.8</v>
          </cell>
          <cell r="AA204">
            <v>1.8</v>
          </cell>
        </row>
        <row r="205">
          <cell r="H205" t="str">
            <v>XQ5-LC-ETXJW5PK-Flor-XL</v>
          </cell>
        </row>
        <row r="205">
          <cell r="X205">
            <v>0.12</v>
          </cell>
          <cell r="Y205">
            <v>18.2</v>
          </cell>
          <cell r="Z205">
            <v>15.2</v>
          </cell>
          <cell r="AA205">
            <v>4.6</v>
          </cell>
        </row>
        <row r="206">
          <cell r="H206" t="str">
            <v>XQ5-LC-YYFSD-Azul-1PK</v>
          </cell>
        </row>
        <row r="206">
          <cell r="X206">
            <v>0.06</v>
          </cell>
          <cell r="Y206">
            <v>28.8</v>
          </cell>
          <cell r="Z206">
            <v>15.4</v>
          </cell>
          <cell r="AA206">
            <v>2</v>
          </cell>
        </row>
        <row r="207">
          <cell r="H207" t="str">
            <v>XQ5-LC-YYFSD-Rosa-1PK</v>
          </cell>
        </row>
        <row r="207">
          <cell r="X207">
            <v>0.06</v>
          </cell>
          <cell r="Y207">
            <v>28.8</v>
          </cell>
          <cell r="Z207">
            <v>16</v>
          </cell>
          <cell r="AA207">
            <v>1.6</v>
          </cell>
        </row>
        <row r="208">
          <cell r="H208" t="str">
            <v>XQ5-LC-YYFSD-Azul-2PK</v>
          </cell>
        </row>
        <row r="208">
          <cell r="X208">
            <v>0.14</v>
          </cell>
          <cell r="Y208">
            <v>25.2</v>
          </cell>
          <cell r="Z208">
            <v>19.4</v>
          </cell>
          <cell r="AA208">
            <v>3.6</v>
          </cell>
        </row>
        <row r="209">
          <cell r="H209" t="str">
            <v>XQ5-LC-YYFSD-Rosa-2PK</v>
          </cell>
        </row>
        <row r="209">
          <cell r="X209">
            <v>0.14</v>
          </cell>
          <cell r="Y209">
            <v>25.1</v>
          </cell>
          <cell r="Z209">
            <v>18.4</v>
          </cell>
          <cell r="AA209">
            <v>3.9</v>
          </cell>
        </row>
        <row r="210">
          <cell r="H210" t="str">
            <v>XQ5-LC-SBSNH-Negro-12</v>
          </cell>
        </row>
        <row r="210">
          <cell r="X210">
            <v>1</v>
          </cell>
          <cell r="Y210">
            <v>31.6</v>
          </cell>
          <cell r="Z210">
            <v>11.4</v>
          </cell>
          <cell r="AA210">
            <v>22.2</v>
          </cell>
        </row>
        <row r="212">
          <cell r="H212" t="str">
            <v>XQ5-QP001-1137328464</v>
          </cell>
        </row>
        <row r="212">
          <cell r="X212">
            <v>0.3</v>
          </cell>
          <cell r="Y212">
            <v>0</v>
          </cell>
          <cell r="Z212">
            <v>0</v>
          </cell>
          <cell r="AA212">
            <v>0</v>
          </cell>
        </row>
        <row r="213">
          <cell r="H213" t="str">
            <v>XQ5-QP002-4M519A810AA</v>
          </cell>
        </row>
        <row r="213">
          <cell r="X213">
            <v>0.34</v>
          </cell>
          <cell r="Y213">
            <v>0</v>
          </cell>
          <cell r="Z213">
            <v>0</v>
          </cell>
          <cell r="AA213">
            <v>0</v>
          </cell>
        </row>
        <row r="214">
          <cell r="H214" t="str">
            <v>XQ5-QP003-1137328365</v>
          </cell>
        </row>
        <row r="214">
          <cell r="X214">
            <v>0.3</v>
          </cell>
          <cell r="Y214">
            <v>0</v>
          </cell>
          <cell r="Z214">
            <v>0</v>
          </cell>
          <cell r="AA214">
            <v>0</v>
          </cell>
        </row>
        <row r="215">
          <cell r="H215" t="str">
            <v>XQ5-QP004-940009402</v>
          </cell>
        </row>
        <row r="215">
          <cell r="X215">
            <v>0.38</v>
          </cell>
          <cell r="Y215">
            <v>0</v>
          </cell>
          <cell r="Z215">
            <v>0</v>
          </cell>
          <cell r="AA215">
            <v>0</v>
          </cell>
        </row>
        <row r="216">
          <cell r="H216" t="str">
            <v>XQ5-QP005-1137328617</v>
          </cell>
        </row>
        <row r="216">
          <cell r="X216">
            <v>0.46</v>
          </cell>
          <cell r="Y216">
            <v>0</v>
          </cell>
          <cell r="Z216">
            <v>0</v>
          </cell>
          <cell r="AA216">
            <v>0</v>
          </cell>
        </row>
        <row r="217">
          <cell r="H217" t="str">
            <v>XQ5-QP006-25554-3DN0A</v>
          </cell>
        </row>
        <row r="217">
          <cell r="X217">
            <v>0.38</v>
          </cell>
          <cell r="Y217">
            <v>16</v>
          </cell>
          <cell r="Z217">
            <v>14.5</v>
          </cell>
          <cell r="AA217">
            <v>10</v>
          </cell>
        </row>
        <row r="218">
          <cell r="H218" t="str">
            <v>XQ5-QP007-5156106AF</v>
          </cell>
        </row>
        <row r="218">
          <cell r="X218">
            <v>0.38</v>
          </cell>
          <cell r="Y218">
            <v>16</v>
          </cell>
          <cell r="Z218">
            <v>14.5</v>
          </cell>
          <cell r="AA218">
            <v>10</v>
          </cell>
        </row>
        <row r="219">
          <cell r="H219" t="str">
            <v>XQ5-QP008-25567-ET225</v>
          </cell>
        </row>
        <row r="219">
          <cell r="X219">
            <v>0.38</v>
          </cell>
          <cell r="Y219">
            <v>16</v>
          </cell>
          <cell r="Z219">
            <v>14.5</v>
          </cell>
          <cell r="AA219">
            <v>10</v>
          </cell>
        </row>
        <row r="220">
          <cell r="H220" t="str">
            <v>XQ5-QP009-84306-48030</v>
          </cell>
        </row>
        <row r="220">
          <cell r="X220">
            <v>0.38</v>
          </cell>
          <cell r="Y220">
            <v>16</v>
          </cell>
          <cell r="Z220">
            <v>14.5</v>
          </cell>
          <cell r="AA220">
            <v>10</v>
          </cell>
        </row>
        <row r="221">
          <cell r="H221" t="str">
            <v>XQ5-QP010-05156106AG-S</v>
          </cell>
        </row>
        <row r="221">
          <cell r="X221">
            <v>0.38</v>
          </cell>
          <cell r="Y221">
            <v>16</v>
          </cell>
          <cell r="Z221">
            <v>14.5</v>
          </cell>
          <cell r="AA221">
            <v>10</v>
          </cell>
        </row>
        <row r="222">
          <cell r="H222" t="str">
            <v>XQ5-QP011-94529531</v>
          </cell>
        </row>
        <row r="222">
          <cell r="X222">
            <v>0.38</v>
          </cell>
          <cell r="Y222">
            <v>16</v>
          </cell>
          <cell r="Z222">
            <v>14.5</v>
          </cell>
          <cell r="AA222">
            <v>10</v>
          </cell>
        </row>
        <row r="223">
          <cell r="H223" t="str">
            <v>XQ5-QP012-93490-3Q120</v>
          </cell>
        </row>
        <row r="223">
          <cell r="X223">
            <v>0.38</v>
          </cell>
          <cell r="Y223">
            <v>16</v>
          </cell>
          <cell r="Z223">
            <v>14.5</v>
          </cell>
          <cell r="AA223">
            <v>10</v>
          </cell>
        </row>
        <row r="224">
          <cell r="H224" t="str">
            <v>XQ5-QP013-B5567-JM50AN</v>
          </cell>
        </row>
        <row r="224">
          <cell r="X224">
            <v>0.38</v>
          </cell>
          <cell r="Y224">
            <v>16</v>
          </cell>
          <cell r="Z224">
            <v>14.5</v>
          </cell>
          <cell r="AA224">
            <v>10</v>
          </cell>
        </row>
        <row r="225">
          <cell r="H225" t="str">
            <v>XQ5-QP014-84306-06140</v>
          </cell>
        </row>
        <row r="225">
          <cell r="X225">
            <v>0.38</v>
          </cell>
          <cell r="Y225">
            <v>16</v>
          </cell>
          <cell r="Z225">
            <v>14.5</v>
          </cell>
          <cell r="AA225">
            <v>10</v>
          </cell>
        </row>
        <row r="226">
          <cell r="H226" t="str">
            <v>XQ5-QP015-26685762</v>
          </cell>
        </row>
        <row r="226">
          <cell r="X226">
            <v>0.38</v>
          </cell>
          <cell r="Y226">
            <v>16</v>
          </cell>
          <cell r="Z226">
            <v>14.5</v>
          </cell>
          <cell r="AA226">
            <v>10</v>
          </cell>
        </row>
        <row r="227">
          <cell r="H227" t="str">
            <v>XQ5-QP020-25554-3TS0A</v>
          </cell>
        </row>
        <row r="227">
          <cell r="X227">
            <v>0.18</v>
          </cell>
          <cell r="Y227">
            <v>12.5</v>
          </cell>
          <cell r="Z227">
            <v>12.5</v>
          </cell>
          <cell r="AA227">
            <v>8.5</v>
          </cell>
        </row>
        <row r="228">
          <cell r="H228" t="str">
            <v>XQ5-QP021-84306-22010</v>
          </cell>
        </row>
        <row r="228">
          <cell r="X228">
            <v>0.18</v>
          </cell>
          <cell r="Y228">
            <v>12.5</v>
          </cell>
          <cell r="Z228">
            <v>12.5</v>
          </cell>
          <cell r="AA228">
            <v>8.5</v>
          </cell>
        </row>
        <row r="229">
          <cell r="H229" t="str">
            <v>XQ5-QP022-BP4K-66-CS0</v>
          </cell>
        </row>
        <row r="229">
          <cell r="X229">
            <v>0.18</v>
          </cell>
          <cell r="Y229">
            <v>12.5</v>
          </cell>
          <cell r="Z229">
            <v>12.5</v>
          </cell>
          <cell r="AA229">
            <v>8.5</v>
          </cell>
        </row>
        <row r="230">
          <cell r="H230" t="str">
            <v>XQ5-QP016-55503109</v>
          </cell>
        </row>
        <row r="230">
          <cell r="X230">
            <v>0.6</v>
          </cell>
          <cell r="Y230">
            <v>18.5</v>
          </cell>
          <cell r="Z230">
            <v>14.5</v>
          </cell>
          <cell r="AA230">
            <v>11.5</v>
          </cell>
        </row>
        <row r="231">
          <cell r="H231" t="str">
            <v>XQ5-QP017-12704586</v>
          </cell>
        </row>
        <row r="231">
          <cell r="X231">
            <v>1.22</v>
          </cell>
          <cell r="Y231">
            <v>18.8</v>
          </cell>
          <cell r="Z231">
            <v>14.8</v>
          </cell>
          <cell r="AA231">
            <v>9.5</v>
          </cell>
        </row>
        <row r="232">
          <cell r="H232" t="str">
            <v>XQ5-QP018-12686657</v>
          </cell>
        </row>
        <row r="232">
          <cell r="X232">
            <v>1.18</v>
          </cell>
          <cell r="Y232">
            <v>18.8</v>
          </cell>
          <cell r="Z232">
            <v>14.8</v>
          </cell>
          <cell r="AA232">
            <v>9.5</v>
          </cell>
        </row>
        <row r="233">
          <cell r="H233" t="str">
            <v>XQ5-QP019-07K-145100C</v>
          </cell>
        </row>
        <row r="233">
          <cell r="X233">
            <v>0.96</v>
          </cell>
          <cell r="Y233">
            <v>18.5</v>
          </cell>
          <cell r="Z233">
            <v>14.5</v>
          </cell>
          <cell r="AA233">
            <v>11.5</v>
          </cell>
        </row>
        <row r="234">
          <cell r="H234" t="str">
            <v>XQ5-QP023-A1137</v>
          </cell>
        </row>
        <row r="234">
          <cell r="X234">
            <v>6.55</v>
          </cell>
          <cell r="Y234">
            <v>25</v>
          </cell>
          <cell r="Z234">
            <v>24</v>
          </cell>
          <cell r="AA234">
            <v>18.5</v>
          </cell>
        </row>
        <row r="235">
          <cell r="H235" t="str">
            <v>XQ5-QP024-101210-1650</v>
          </cell>
        </row>
        <row r="235">
          <cell r="X235">
            <v>7.5</v>
          </cell>
          <cell r="Y235">
            <v>25</v>
          </cell>
          <cell r="Z235">
            <v>24</v>
          </cell>
          <cell r="AA235">
            <v>18.5</v>
          </cell>
        </row>
        <row r="236">
          <cell r="H236" t="str">
            <v>XQ5-QP025-020911023</v>
          </cell>
        </row>
        <row r="236">
          <cell r="X236">
            <v>3.3</v>
          </cell>
          <cell r="Y236">
            <v>26</v>
          </cell>
          <cell r="Z236">
            <v>16.8</v>
          </cell>
          <cell r="AA236">
            <v>15</v>
          </cell>
        </row>
        <row r="237">
          <cell r="H237" t="str">
            <v>XQ5-QP026-96469963</v>
          </cell>
        </row>
        <row r="237">
          <cell r="X237">
            <v>3.3</v>
          </cell>
          <cell r="Y237">
            <v>26</v>
          </cell>
          <cell r="Z237">
            <v>16.8</v>
          </cell>
          <cell r="AA237">
            <v>15</v>
          </cell>
        </row>
        <row r="238">
          <cell r="H238" t="str">
            <v>XQ5-QP027-0001107402</v>
          </cell>
        </row>
        <row r="238">
          <cell r="X238">
            <v>3.3</v>
          </cell>
          <cell r="Y238">
            <v>26</v>
          </cell>
          <cell r="Z238">
            <v>16.8</v>
          </cell>
          <cell r="AA238">
            <v>15</v>
          </cell>
        </row>
        <row r="239">
          <cell r="H239" t="str">
            <v>XQ5-QP028-S114-901A</v>
          </cell>
        </row>
        <row r="239">
          <cell r="X239">
            <v>3.3</v>
          </cell>
          <cell r="Y239">
            <v>26</v>
          </cell>
          <cell r="Z239">
            <v>16.8</v>
          </cell>
          <cell r="AA239">
            <v>15</v>
          </cell>
        </row>
        <row r="240">
          <cell r="H240" t="str">
            <v>XQ5-QP029-S114-769</v>
          </cell>
        </row>
        <row r="240">
          <cell r="X240">
            <v>3.3</v>
          </cell>
          <cell r="Y240">
            <v>26</v>
          </cell>
          <cell r="Z240">
            <v>16.8</v>
          </cell>
          <cell r="AA240">
            <v>15</v>
          </cell>
        </row>
        <row r="241">
          <cell r="H241" t="str">
            <v>XQ5-QP030-8000727</v>
          </cell>
        </row>
        <row r="241">
          <cell r="X241">
            <v>3.3</v>
          </cell>
          <cell r="Y241">
            <v>26</v>
          </cell>
          <cell r="Z241">
            <v>16.8</v>
          </cell>
          <cell r="AA241">
            <v>15</v>
          </cell>
        </row>
        <row r="242">
          <cell r="H242" t="str">
            <v>XQ5-QP031-597080</v>
          </cell>
        </row>
        <row r="242">
          <cell r="X242">
            <v>1.4</v>
          </cell>
          <cell r="Y242">
            <v>44.5</v>
          </cell>
          <cell r="Z242">
            <v>8.5</v>
          </cell>
          <cell r="AA242">
            <v>20</v>
          </cell>
        </row>
        <row r="243">
          <cell r="H243" t="str">
            <v>XQ5-QP032-224338H315</v>
          </cell>
        </row>
        <row r="243">
          <cell r="X243">
            <v>0.18</v>
          </cell>
          <cell r="Y243">
            <v>8.5</v>
          </cell>
          <cell r="Z243">
            <v>8.5</v>
          </cell>
          <cell r="AA243">
            <v>20</v>
          </cell>
        </row>
        <row r="244">
          <cell r="H244" t="str">
            <v>XQ5-QP033-1L2U12029AA</v>
          </cell>
        </row>
        <row r="244">
          <cell r="X244">
            <v>0.2</v>
          </cell>
          <cell r="Y244">
            <v>8.5</v>
          </cell>
          <cell r="Z244">
            <v>8.5</v>
          </cell>
          <cell r="AA244">
            <v>20</v>
          </cell>
        </row>
        <row r="245">
          <cell r="H245" t="str">
            <v>XQ5-QP034-12655421</v>
          </cell>
        </row>
        <row r="245">
          <cell r="X245">
            <v>0.405</v>
          </cell>
          <cell r="Y245">
            <v>17</v>
          </cell>
          <cell r="Z245">
            <v>8</v>
          </cell>
          <cell r="AA245">
            <v>5.5</v>
          </cell>
        </row>
        <row r="246">
          <cell r="H246" t="str">
            <v>XQ5-QP035-23796-ET00A</v>
          </cell>
        </row>
        <row r="246">
          <cell r="X246">
            <v>0.145</v>
          </cell>
          <cell r="Y246">
            <v>6</v>
          </cell>
          <cell r="Z246">
            <v>6</v>
          </cell>
          <cell r="AA246">
            <v>14</v>
          </cell>
        </row>
        <row r="247">
          <cell r="H247" t="str">
            <v>XQ5-QP036-15810-RAA-A01</v>
          </cell>
        </row>
        <row r="247">
          <cell r="X247">
            <v>0.18</v>
          </cell>
          <cell r="Y247">
            <v>6</v>
          </cell>
          <cell r="Z247">
            <v>6</v>
          </cell>
          <cell r="AA247">
            <v>15</v>
          </cell>
        </row>
        <row r="248">
          <cell r="H248" t="str">
            <v>XQ5-QP037-904501HL0A</v>
          </cell>
        </row>
        <row r="248">
          <cell r="X248">
            <v>0.6</v>
          </cell>
          <cell r="Y248">
            <v>60</v>
          </cell>
          <cell r="Z248">
            <v>4</v>
          </cell>
          <cell r="AA248">
            <v>5</v>
          </cell>
        </row>
        <row r="249">
          <cell r="H249" t="str">
            <v>XQ5-QP038-377827550C</v>
          </cell>
        </row>
        <row r="249">
          <cell r="X249">
            <v>0.6</v>
          </cell>
          <cell r="Y249">
            <v>60</v>
          </cell>
          <cell r="Z249">
            <v>4</v>
          </cell>
          <cell r="AA249">
            <v>5</v>
          </cell>
        </row>
        <row r="250">
          <cell r="H250" t="str">
            <v>XQ5-QP039-3B5-827-550A</v>
          </cell>
        </row>
        <row r="250">
          <cell r="X250">
            <v>0.6</v>
          </cell>
          <cell r="Y250">
            <v>60</v>
          </cell>
          <cell r="Z250">
            <v>4</v>
          </cell>
          <cell r="AA250">
            <v>5</v>
          </cell>
        </row>
        <row r="251">
          <cell r="H251" t="str">
            <v>XQ5-QP040-6L6-827-550B</v>
          </cell>
        </row>
        <row r="251">
          <cell r="X251">
            <v>0.6</v>
          </cell>
          <cell r="Y251">
            <v>60</v>
          </cell>
          <cell r="Z251">
            <v>4</v>
          </cell>
          <cell r="AA251">
            <v>5</v>
          </cell>
        </row>
        <row r="252">
          <cell r="H252" t="str">
            <v>XQ5-QP041</v>
          </cell>
        </row>
        <row r="252">
          <cell r="X252">
            <v>0.16</v>
          </cell>
          <cell r="Y252">
            <v>16</v>
          </cell>
          <cell r="Z252">
            <v>9.5</v>
          </cell>
          <cell r="AA252">
            <v>11</v>
          </cell>
        </row>
        <row r="253">
          <cell r="H253" t="str">
            <v>XQ5-QP042</v>
          </cell>
        </row>
        <row r="253">
          <cell r="X253">
            <v>0.1</v>
          </cell>
          <cell r="Y253">
            <v>8</v>
          </cell>
          <cell r="Z253">
            <v>8</v>
          </cell>
          <cell r="AA253">
            <v>3.5</v>
          </cell>
        </row>
        <row r="254">
          <cell r="H254" t="str">
            <v>XQ5-QP043</v>
          </cell>
        </row>
        <row r="254">
          <cell r="X254">
            <v>0.1</v>
          </cell>
          <cell r="Y254">
            <v>6</v>
          </cell>
          <cell r="Z254">
            <v>5</v>
          </cell>
          <cell r="AA254">
            <v>4</v>
          </cell>
        </row>
        <row r="255">
          <cell r="H255" t="str">
            <v>XQ5-QP044</v>
          </cell>
        </row>
        <row r="255">
          <cell r="X255">
            <v>0.68</v>
          </cell>
          <cell r="Y255">
            <v>5.3</v>
          </cell>
          <cell r="Z255">
            <v>5.3</v>
          </cell>
          <cell r="AA255">
            <v>9</v>
          </cell>
        </row>
        <row r="256">
          <cell r="H256" t="str">
            <v>XQ5-QP045</v>
          </cell>
        </row>
        <row r="256">
          <cell r="X256">
            <v>0.156</v>
          </cell>
          <cell r="Y256">
            <v>12</v>
          </cell>
          <cell r="Z256">
            <v>8</v>
          </cell>
          <cell r="AA256">
            <v>4.5</v>
          </cell>
        </row>
        <row r="257">
          <cell r="H257" t="str">
            <v>XQ5-QP046</v>
          </cell>
        </row>
        <row r="257">
          <cell r="X257">
            <v>0.3</v>
          </cell>
          <cell r="Y257">
            <v>8.3</v>
          </cell>
          <cell r="Z257">
            <v>5</v>
          </cell>
          <cell r="AA257">
            <v>5</v>
          </cell>
        </row>
        <row r="258">
          <cell r="H258" t="str">
            <v>XQ5-QP047</v>
          </cell>
        </row>
        <row r="258">
          <cell r="X258">
            <v>0.3</v>
          </cell>
          <cell r="Y258">
            <v>8</v>
          </cell>
          <cell r="Z258">
            <v>2</v>
          </cell>
          <cell r="AA258">
            <v>2</v>
          </cell>
        </row>
        <row r="259">
          <cell r="H259" t="str">
            <v>XQ5-QP048</v>
          </cell>
        </row>
        <row r="259">
          <cell r="X259">
            <v>0.355</v>
          </cell>
          <cell r="Y259">
            <v>24.5</v>
          </cell>
          <cell r="Z259">
            <v>4.5</v>
          </cell>
          <cell r="AA259">
            <v>6.7</v>
          </cell>
        </row>
        <row r="260">
          <cell r="H260" t="str">
            <v>XQ5-QP049</v>
          </cell>
        </row>
        <row r="260">
          <cell r="X260">
            <v>0.39</v>
          </cell>
          <cell r="Y260">
            <v>18</v>
          </cell>
          <cell r="Z260">
            <v>7</v>
          </cell>
          <cell r="AA260">
            <v>6</v>
          </cell>
        </row>
        <row r="261">
          <cell r="H261" t="str">
            <v>XQ5-QP050</v>
          </cell>
        </row>
        <row r="261">
          <cell r="X261">
            <v>0.314</v>
          </cell>
          <cell r="Y261">
            <v>19.8</v>
          </cell>
          <cell r="Z261">
            <v>5.8</v>
          </cell>
          <cell r="AA261">
            <v>5</v>
          </cell>
        </row>
        <row r="262">
          <cell r="H262" t="str">
            <v>XQ5-QP051</v>
          </cell>
        </row>
        <row r="262">
          <cell r="X262">
            <v>0.041</v>
          </cell>
          <cell r="Y262">
            <v>1.5</v>
          </cell>
          <cell r="Z262">
            <v>12.8</v>
          </cell>
          <cell r="AA262">
            <v>2.3</v>
          </cell>
        </row>
        <row r="263">
          <cell r="H263" t="str">
            <v>XQ5-QP052</v>
          </cell>
        </row>
        <row r="263">
          <cell r="X263">
            <v>0.114</v>
          </cell>
          <cell r="Y263">
            <v>2</v>
          </cell>
          <cell r="Z263">
            <v>6</v>
          </cell>
          <cell r="AA263">
            <v>8</v>
          </cell>
        </row>
        <row r="264">
          <cell r="H264" t="str">
            <v>XQ5-QP053</v>
          </cell>
        </row>
        <row r="264">
          <cell r="X264">
            <v>0.142</v>
          </cell>
          <cell r="Y264">
            <v>10</v>
          </cell>
          <cell r="Z264">
            <v>6</v>
          </cell>
          <cell r="AA264">
            <v>5.5</v>
          </cell>
        </row>
        <row r="265">
          <cell r="H265" t="str">
            <v>XQ5-QP054</v>
          </cell>
        </row>
        <row r="265">
          <cell r="X265">
            <v>0.078</v>
          </cell>
          <cell r="Y265">
            <v>12.5</v>
          </cell>
          <cell r="Z265">
            <v>5.5</v>
          </cell>
          <cell r="AA265">
            <v>4.3</v>
          </cell>
        </row>
        <row r="266">
          <cell r="H266" t="str">
            <v>XQ5-QP055</v>
          </cell>
        </row>
        <row r="266">
          <cell r="X266">
            <v>0.31</v>
          </cell>
          <cell r="Y266">
            <v>15</v>
          </cell>
          <cell r="Z266">
            <v>15</v>
          </cell>
          <cell r="AA266">
            <v>2</v>
          </cell>
        </row>
        <row r="267">
          <cell r="H267" t="str">
            <v>XQ5-QP056</v>
          </cell>
        </row>
        <row r="267">
          <cell r="X267">
            <v>0.2</v>
          </cell>
          <cell r="Y267">
            <v>10</v>
          </cell>
          <cell r="Z267">
            <v>20</v>
          </cell>
          <cell r="AA267">
            <v>5</v>
          </cell>
        </row>
        <row r="268">
          <cell r="H268" t="str">
            <v>XQ5-QP057</v>
          </cell>
        </row>
        <row r="268">
          <cell r="X268">
            <v>0.1</v>
          </cell>
          <cell r="Y268">
            <v>10.5</v>
          </cell>
          <cell r="Z268">
            <v>2.5</v>
          </cell>
          <cell r="AA268">
            <v>1</v>
          </cell>
        </row>
        <row r="269">
          <cell r="H269" t="str">
            <v>XQ5-QP058</v>
          </cell>
        </row>
        <row r="269">
          <cell r="X269">
            <v>0.105</v>
          </cell>
          <cell r="Y269">
            <v>3.4</v>
          </cell>
          <cell r="Z269">
            <v>3.4</v>
          </cell>
          <cell r="AA269">
            <v>5.8</v>
          </cell>
        </row>
        <row r="270">
          <cell r="H270" t="str">
            <v>XQ5-QP059</v>
          </cell>
        </row>
        <row r="270">
          <cell r="X270">
            <v>0.23</v>
          </cell>
          <cell r="Y270">
            <v>17.5</v>
          </cell>
          <cell r="Z270">
            <v>12.5</v>
          </cell>
          <cell r="AA270">
            <v>8</v>
          </cell>
        </row>
        <row r="272">
          <cell r="H272" t="str">
            <v>XQ5-YL001</v>
          </cell>
        </row>
        <row r="272">
          <cell r="X272">
            <v>22</v>
          </cell>
          <cell r="Y272">
            <v>80.5</v>
          </cell>
          <cell r="Z272">
            <v>61.5</v>
          </cell>
          <cell r="AA272">
            <v>16</v>
          </cell>
        </row>
        <row r="273">
          <cell r="H273" t="str">
            <v>XQ5-YL002</v>
          </cell>
        </row>
        <row r="273">
          <cell r="X273">
            <v>6.7</v>
          </cell>
          <cell r="Y273">
            <v>74</v>
          </cell>
          <cell r="Z273">
            <v>26</v>
          </cell>
          <cell r="AA273">
            <v>36</v>
          </cell>
        </row>
        <row r="274">
          <cell r="H274" t="str">
            <v>XQ5-YL003</v>
          </cell>
        </row>
        <row r="274">
          <cell r="X274">
            <v>5.2</v>
          </cell>
          <cell r="Y274">
            <v>52</v>
          </cell>
          <cell r="Z274">
            <v>36</v>
          </cell>
          <cell r="AA274">
            <v>22</v>
          </cell>
        </row>
        <row r="275">
          <cell r="H275" t="str">
            <v>XQ5-YL004</v>
          </cell>
        </row>
        <row r="275">
          <cell r="X275">
            <v>4.4</v>
          </cell>
          <cell r="Y275">
            <v>43</v>
          </cell>
          <cell r="Z275">
            <v>11</v>
          </cell>
          <cell r="AA275">
            <v>69</v>
          </cell>
        </row>
        <row r="276">
          <cell r="H276" t="str">
            <v>XQ5-YL005</v>
          </cell>
        </row>
        <row r="276">
          <cell r="X276">
            <v>17</v>
          </cell>
          <cell r="Y276">
            <v>92</v>
          </cell>
          <cell r="Z276">
            <v>65</v>
          </cell>
          <cell r="AA276">
            <v>25</v>
          </cell>
        </row>
        <row r="278">
          <cell r="H278" t="str">
            <v>XQ5-YL007</v>
          </cell>
        </row>
        <row r="278">
          <cell r="X278">
            <v>22</v>
          </cell>
          <cell r="Y278">
            <v>113</v>
          </cell>
          <cell r="Z278">
            <v>53</v>
          </cell>
          <cell r="AA278">
            <v>17</v>
          </cell>
        </row>
        <row r="279">
          <cell r="H279" t="str">
            <v>XQ5-YL008</v>
          </cell>
        </row>
        <row r="279">
          <cell r="X279">
            <v>6</v>
          </cell>
          <cell r="Y279">
            <v>103</v>
          </cell>
          <cell r="Z279">
            <v>33</v>
          </cell>
          <cell r="AA279">
            <v>12</v>
          </cell>
        </row>
        <row r="280">
          <cell r="H280" t="str">
            <v>XQ5-YL009</v>
          </cell>
        </row>
        <row r="280">
          <cell r="X280">
            <v>19</v>
          </cell>
          <cell r="Y280">
            <v>93</v>
          </cell>
          <cell r="Z280">
            <v>73</v>
          </cell>
          <cell r="AA280">
            <v>14</v>
          </cell>
        </row>
        <row r="281">
          <cell r="H281" t="str">
            <v>XQ5-YL010</v>
          </cell>
        </row>
        <row r="281">
          <cell r="X281">
            <v>12.5</v>
          </cell>
          <cell r="Y281">
            <v>53</v>
          </cell>
          <cell r="Z281">
            <v>53</v>
          </cell>
          <cell r="AA281">
            <v>14</v>
          </cell>
        </row>
        <row r="282">
          <cell r="H282" t="str">
            <v>XQ5-YL011</v>
          </cell>
        </row>
        <row r="282">
          <cell r="X282">
            <v>18</v>
          </cell>
          <cell r="Y282">
            <v>63</v>
          </cell>
          <cell r="Z282">
            <v>63</v>
          </cell>
          <cell r="AA282">
            <v>19</v>
          </cell>
        </row>
        <row r="283">
          <cell r="H283" t="str">
            <v>XQ5-YL012</v>
          </cell>
        </row>
        <row r="283">
          <cell r="X283">
            <v>23</v>
          </cell>
          <cell r="Y283">
            <v>123</v>
          </cell>
          <cell r="Z283">
            <v>36</v>
          </cell>
          <cell r="AA283">
            <v>17</v>
          </cell>
        </row>
        <row r="284">
          <cell r="H284" t="str">
            <v>XQ5-YL013</v>
          </cell>
        </row>
        <row r="284">
          <cell r="X284">
            <v>26</v>
          </cell>
          <cell r="Y284">
            <v>113</v>
          </cell>
          <cell r="Z284">
            <v>63</v>
          </cell>
          <cell r="AA284">
            <v>17</v>
          </cell>
        </row>
        <row r="286">
          <cell r="H286" t="str">
            <v>XQ5-YL015</v>
          </cell>
        </row>
        <row r="286">
          <cell r="X286">
            <v>9</v>
          </cell>
        </row>
        <row r="287">
          <cell r="H287" t="str">
            <v>XQ5-YL016</v>
          </cell>
        </row>
        <row r="287">
          <cell r="X287">
            <v>9</v>
          </cell>
        </row>
        <row r="288">
          <cell r="H288" t="str">
            <v>XQ5-YL017</v>
          </cell>
        </row>
        <row r="288">
          <cell r="X288">
            <v>9</v>
          </cell>
        </row>
        <row r="289">
          <cell r="H289" t="str">
            <v>XQ5-YL018</v>
          </cell>
        </row>
        <row r="289">
          <cell r="X289">
            <v>10</v>
          </cell>
        </row>
        <row r="290">
          <cell r="H290" t="str">
            <v>XQ5-YL019</v>
          </cell>
        </row>
        <row r="290">
          <cell r="X290">
            <v>10</v>
          </cell>
        </row>
        <row r="291">
          <cell r="H291" t="str">
            <v>XQ5-YL020</v>
          </cell>
        </row>
        <row r="291">
          <cell r="X291">
            <v>10</v>
          </cell>
        </row>
        <row r="292">
          <cell r="X292">
            <v>18</v>
          </cell>
          <cell r="Y292">
            <v>114</v>
          </cell>
          <cell r="Z292">
            <v>64</v>
          </cell>
          <cell r="AA292">
            <v>16</v>
          </cell>
        </row>
        <row r="293">
          <cell r="H293" t="str">
            <v>XQ5-YL022</v>
          </cell>
        </row>
        <row r="293">
          <cell r="X293">
            <v>7</v>
          </cell>
          <cell r="Y293">
            <v>103</v>
          </cell>
          <cell r="Z293">
            <v>33</v>
          </cell>
          <cell r="AA293">
            <v>12</v>
          </cell>
        </row>
        <row r="294">
          <cell r="H294" t="str">
            <v>XQ5-YL023</v>
          </cell>
        </row>
        <row r="294">
          <cell r="X294">
            <v>16.5</v>
          </cell>
          <cell r="Y294">
            <v>41</v>
          </cell>
          <cell r="Z294">
            <v>36</v>
          </cell>
          <cell r="AA294">
            <v>36</v>
          </cell>
        </row>
        <row r="295">
          <cell r="H295" t="str">
            <v>XQ5-YL024</v>
          </cell>
        </row>
        <row r="295">
          <cell r="X295">
            <v>2.2</v>
          </cell>
          <cell r="Y295">
            <v>106</v>
          </cell>
          <cell r="Z295">
            <v>10</v>
          </cell>
          <cell r="AA295">
            <v>11</v>
          </cell>
        </row>
        <row r="296">
          <cell r="H296" t="str">
            <v>XQ5-YL025</v>
          </cell>
        </row>
        <row r="296">
          <cell r="X296">
            <v>3</v>
          </cell>
          <cell r="Y296">
            <v>77</v>
          </cell>
          <cell r="Z296">
            <v>7</v>
          </cell>
          <cell r="AA296">
            <v>7</v>
          </cell>
        </row>
        <row r="297">
          <cell r="H297" t="str">
            <v>XQ5-YL026</v>
          </cell>
        </row>
        <row r="297">
          <cell r="X297">
            <v>4</v>
          </cell>
          <cell r="Y297">
            <v>40</v>
          </cell>
          <cell r="Z297">
            <v>122</v>
          </cell>
          <cell r="AA297">
            <v>8</v>
          </cell>
        </row>
        <row r="298">
          <cell r="H298" t="str">
            <v>XQ5-YL027</v>
          </cell>
        </row>
        <row r="298">
          <cell r="X298">
            <v>0.1</v>
          </cell>
          <cell r="Y298">
            <v>14</v>
          </cell>
          <cell r="Z298">
            <v>5</v>
          </cell>
          <cell r="AA298">
            <v>5</v>
          </cell>
        </row>
        <row r="299">
          <cell r="H299" t="str">
            <v>XQ5-YL028</v>
          </cell>
        </row>
        <row r="299">
          <cell r="X299">
            <v>0.214</v>
          </cell>
          <cell r="Y299">
            <v>7</v>
          </cell>
          <cell r="Z299">
            <v>3</v>
          </cell>
          <cell r="AA299">
            <v>6</v>
          </cell>
        </row>
        <row r="300">
          <cell r="H300" t="str">
            <v>XQ5-YL029</v>
          </cell>
        </row>
        <row r="300">
          <cell r="X300">
            <v>0.07</v>
          </cell>
        </row>
        <row r="301">
          <cell r="X301">
            <v>0.07</v>
          </cell>
          <cell r="Y301">
            <v>13</v>
          </cell>
          <cell r="Z301">
            <v>5</v>
          </cell>
          <cell r="AA301">
            <v>2.5</v>
          </cell>
        </row>
        <row r="302">
          <cell r="H302" t="str">
            <v>XQ5-YL030</v>
          </cell>
        </row>
        <row r="302">
          <cell r="X302">
            <v>0.08</v>
          </cell>
          <cell r="Y302">
            <v>25</v>
          </cell>
          <cell r="Z302">
            <v>8.5</v>
          </cell>
          <cell r="AA302">
            <v>2.5</v>
          </cell>
        </row>
        <row r="303">
          <cell r="H303" t="str">
            <v>XQ5-YL031</v>
          </cell>
        </row>
        <row r="303">
          <cell r="X303">
            <v>0.08</v>
          </cell>
          <cell r="Y303">
            <v>13</v>
          </cell>
          <cell r="Z303">
            <v>19</v>
          </cell>
          <cell r="AA303">
            <v>4</v>
          </cell>
        </row>
        <row r="304">
          <cell r="H304" t="str">
            <v>XQ5-YL032</v>
          </cell>
        </row>
        <row r="304">
          <cell r="X304">
            <v>0.22</v>
          </cell>
          <cell r="Y304">
            <v>17.2</v>
          </cell>
          <cell r="Z304">
            <v>12.5</v>
          </cell>
          <cell r="AA304">
            <v>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5" Type="http://schemas.openxmlformats.org/officeDocument/2006/relationships/hyperlink" Target="https://www.mercadolibre.com.mx/acero-inox-taza-de-calefaccion-electrica-en-el-coche/up/MLMU3526524175" TargetMode="External"/><Relationship Id="rId94" Type="http://schemas.openxmlformats.org/officeDocument/2006/relationships/hyperlink" Target="https://articulo.mercadolibre.com.mx/MLM-2424523417-soporte-con-ventosa-compatible-con-gopro-hero-13-12-11-10-9-_JM" TargetMode="External"/><Relationship Id="rId93" Type="http://schemas.openxmlformats.org/officeDocument/2006/relationships/hyperlink" Target="https://www.mercadolibre.com.mx/balanza-cuchara-digital-medidora-precision-01-a-500g/p/MLM22253871?pdp_filters=seller_id:1660540818" TargetMode="External"/><Relationship Id="rId92" Type="http://schemas.openxmlformats.org/officeDocument/2006/relationships/hyperlink" Target="https://articulo.mercadolibre.com.mx/MLM-1925211339-riel-base-universal-cal-22-ruger-adaptar-riel-11-mm-y-weaver-_JM" TargetMode="External"/><Relationship Id="rId91" Type="http://schemas.openxmlformats.org/officeDocument/2006/relationships/hyperlink" Target="https://articulo.mercadolibre.com.mx/MLM-2597939244-cargador-de-bateria-para-dewalt-litio-dcb112-12v-144v-18v-_JM" TargetMode="External"/><Relationship Id="rId90" Type="http://schemas.openxmlformats.org/officeDocument/2006/relationships/hyperlink" Target="https://articulo.mercadolibre.com.mx/MLM-1989406637-electrovalvula-valvula-agua-14-solenoide-24-v-arduino-pic-_JM" TargetMode="External"/><Relationship Id="rId9" Type="http://schemas.openxmlformats.org/officeDocument/2006/relationships/hyperlink" Target="https://articulo.mercadolibre.com.mx/MLM-1876794321-modulo-ventilador-para-mazda-3-5-ford-focus-fusion-escape-_JM" TargetMode="External"/><Relationship Id="rId89" Type="http://schemas.openxmlformats.org/officeDocument/2006/relationships/hyperlink" Target="https://www.mercadolibre.com.mx/1-pieza-multifuncional-6-en-1-llave-para-ajustar-rayos-moto/up/MLMU3077502231#polycard_client=search-nordic&amp;search_layout=grid&amp;position=2&amp;type=product&amp;tracking_id=c0575694-0252-4634-80a6-7741b0323090&amp;wid=MLM2263346891&amp;sid=search" TargetMode="External"/><Relationship Id="rId88" Type="http://schemas.openxmlformats.org/officeDocument/2006/relationships/hyperlink" Target="https://articulo.mercadolibre.com.mx/MLM-3691795010-goniometro-12-para-torque-angular-y-cabezal-cuadrado-_JM" TargetMode="External"/><Relationship Id="rId87" Type="http://schemas.openxmlformats.org/officeDocument/2006/relationships/hyperlink" Target="https://articulo.mercadolibre.com.mx/MLM-3582435646-100pz-grapas-industriales-para-lambrin-interior-decorativo-_JM?searchVariation=187106299951" TargetMode="External"/><Relationship Id="rId86" Type="http://schemas.openxmlformats.org/officeDocument/2006/relationships/hyperlink" Target="https://www.mercadolibre.com.mx/mira-holografica-co2-punto-rojo-ar-riel-20mm-gotcha-red-dot/up/MLMU714320584" TargetMode="External"/><Relationship Id="rId85" Type="http://schemas.openxmlformats.org/officeDocument/2006/relationships/hyperlink" Target="https://www.mercadolibre.com.mx/montura-scope-monopieza-tactica-mira-telescopica-rifle-caza/up/MLMU497765415" TargetMode="External"/><Relationship Id="rId84" Type="http://schemas.openxmlformats.org/officeDocument/2006/relationships/hyperlink" Target="https://www.mercadolibre.com.mx/2-monturas-11mm-tactica-alta-anilletas-riel-picatinny-rifles/up/MLMU472195979" TargetMode="External"/><Relationship Id="rId83" Type="http://schemas.openxmlformats.org/officeDocument/2006/relationships/hyperlink" Target="https://articulo.mercadolibre.com.mx/MLM-2211606227-pack-carry-handle-asa-transporte-militar-ar15-m4-m16-ak47-_JM" TargetMode="External"/><Relationship Id="rId82" Type="http://schemas.openxmlformats.org/officeDocument/2006/relationships/hyperlink" Target="https://www.mercadolibre.com.mx/guardamanos-enfriador-tactico-ar-15--m4-gotcha-airsoft/up/MLMU3170577297" TargetMode="External"/><Relationship Id="rId81" Type="http://schemas.openxmlformats.org/officeDocument/2006/relationships/hyperlink" Target="https://www.mercadolibre.com.mx/ak47-riel-picatinny-dust-cover-tapadera-superior-riel-alumin/up/MLMU3259595390?pdp_filters=seller_id:1535196936" TargetMode="External"/><Relationship Id="rId80" Type="http://schemas.openxmlformats.org/officeDocument/2006/relationships/hyperlink" Target="https://www.mercadolibre.com.mx/2-amortiguadores-cajuela-jetta-a4-19992015/up/MLMU561302256?pdp_filters=item_id:MLM1614210250" TargetMode="External"/><Relationship Id="rId8" Type="http://schemas.openxmlformats.org/officeDocument/2006/relationships/hyperlink" Target="https://articulo.mercadolibre.com.mx/MLM-3623005456-porta-sueros-acero-inox-3-ruedas-base-de-hierro-con-cubierta-_JM" TargetMode="External"/><Relationship Id="rId79" Type="http://schemas.openxmlformats.org/officeDocument/2006/relationships/hyperlink" Target="https://articulo.mercadolibre.com.mx/MLM-2467898254-par-de-amortiguadores-cajuela-vw-pointer-1998-al-2009-oep-_JM" TargetMode="External"/><Relationship Id="rId78" Type="http://schemas.openxmlformats.org/officeDocument/2006/relationships/hyperlink" Target="https://www.mercadolibre.com.mx/par-amortiguadores-de-cajuela-nissan-march-20122018-90451/up/MLMU2760305272" TargetMode="External"/><Relationship Id="rId77" Type="http://schemas.openxmlformats.org/officeDocument/2006/relationships/hyperlink" Target="https://www.mercadolibre.com.mx/espiral-reloj-pista-carrete-mazda-3-2004-2005-2006-2007-2008/up/MLMU459534622?pdp_filters=item_id:MLM1451096521" TargetMode="External"/><Relationship Id="rId76" Type="http://schemas.openxmlformats.org/officeDocument/2006/relationships/hyperlink" Target="https://articulo.mercadolibre.com.mx/MLM-3814162412-muelle-reloj-para-nissan-np300-navara-d23-25lts-2016-2020-_JM" TargetMode="External"/><Relationship Id="rId75" Type="http://schemas.openxmlformats.org/officeDocument/2006/relationships/hyperlink" Target="https://www.mercadolibre.com.mx/repisa-con-garabato-100-cm-color-gris/p/MLM46822649?pdp_filters=item_id:MLM3586764692" TargetMode="External"/><Relationship Id="rId74" Type="http://schemas.openxmlformats.org/officeDocument/2006/relationships/hyperlink" Target="https://www.mercadolibre.com.mx/maniqui-para-capacitacion-de-rcp/p/MLM48355193?pdp_filters=item_id:MLM3638544806" TargetMode="External"/><Relationship Id="rId73" Type="http://schemas.openxmlformats.org/officeDocument/2006/relationships/hyperlink" Target="https://articulo.mercadolibre.com.mx/MLM-3491805792-mesa-movil-laboratorio-escuelas-ruedas-giratorias-3-enchufes-_JM" TargetMode="External"/><Relationship Id="rId72" Type="http://schemas.openxmlformats.org/officeDocument/2006/relationships/hyperlink" Target="https://www.mercadolibre.com.mx/mesa-isla-doble-100-acero-inox-60x60x90-marca-ferrinox/p/MLM52218143?pdp_filters=item_id:MLM3824894048" TargetMode="External"/><Relationship Id="rId71" Type="http://schemas.openxmlformats.org/officeDocument/2006/relationships/hyperlink" Target="https://www.mercadolibre.com.mx/mesa-apoyo-100-acero-inoxidable-505050-marca-ferrinox/p/MLM53382165?pdp_filters=item_id:MLM3883522934" TargetMode="External"/><Relationship Id="rId70" Type="http://schemas.openxmlformats.org/officeDocument/2006/relationships/hyperlink" Target="https://www.mercadolibre.com.mx/mesa-en-isla-cubierta-acero-inox-90x70x90-marca-ferrinox/p/MLM52273390?pdp_filters=item_id:MLM3825455312" TargetMode="External"/><Relationship Id="rId7" Type="http://schemas.openxmlformats.org/officeDocument/2006/relationships/hyperlink" Target="https://www.mercadolibre.com.mx/andadera-ortopedica-con-ruedas-dewinner-hs-zlq-color-plateado/p/MLM46641363" TargetMode="External"/><Relationship Id="rId69" Type="http://schemas.openxmlformats.org/officeDocument/2006/relationships/hyperlink" Target="https://www.mercadolibre.com.mx/mesa-con-repisa-100-acero-inoxidable-marca-ferrinox/p/MLM52241630?pdp_filters=item_id:MLM3825116996" TargetMode="External"/><Relationship Id="rId68" Type="http://schemas.openxmlformats.org/officeDocument/2006/relationships/hyperlink" Target="https://www.mercadolibre.com.mx/mesa-a-pared-100-acero-inoxidable-120x60x90-marca-ferrinox/p/MLM52259435?pdp_filters=item_id:MLM2369141413" TargetMode="External"/><Relationship Id="rId67" Type="http://schemas.openxmlformats.org/officeDocument/2006/relationships/hyperlink" Target="https://www.mercadolibre.com.mx/repisa-csoporte-acero-inoxidable-marca-mindejal-100-mts/up/MLMU558318943" TargetMode="External"/><Relationship Id="rId66" Type="http://schemas.openxmlformats.org/officeDocument/2006/relationships/hyperlink" Target="https://www.mercadolibre.com.mx/charola-mesa-isla-doble-acero-inoxidable-110x50x85-cm-color-gris-mindejal/p/MLM49021593?pdp_filters=item_id:MLM2304429953" TargetMode="External"/><Relationship Id="rId65" Type="http://schemas.openxmlformats.org/officeDocument/2006/relationships/hyperlink" Target="https://articulo.mercadolibre.com.mx/MLM-3657401840-tm-mesa-mayo-con-charola-acero-inoxidable-ajustable-uso-rudo-_JM" TargetMode="External"/><Relationship Id="rId64" Type="http://schemas.openxmlformats.org/officeDocument/2006/relationships/hyperlink" Target="https://articulo.mercadolibre.com.mx/MLM-3412424772-mesa-pasteur-grado-hospitalario-salon-de-belleza-spa-_JM#polycard_client=search-nordic&amp;search_layout=grid&amp;position=1&amp;type=item&amp;tracking_id=d92c673d-14e6-44cd-92d9-ac0be745bd4a&amp;wid=MLM3412424772&amp;sid=search" TargetMode="External"/><Relationship Id="rId63" Type="http://schemas.openxmlformats.org/officeDocument/2006/relationships/hyperlink" Target="https://articulo.mercadolibre.com.mx/MLM-1814830918-mesa-pasteur-cromada-uso-rudo-envio-gratis-y-factura-_JM" TargetMode="External"/><Relationship Id="rId62" Type="http://schemas.openxmlformats.org/officeDocument/2006/relationships/hyperlink" Target="https://www.mercadolibre.com.mx/carrito-de-medico-de-acero-inoxidable-mesa-para-instrumental-medico-con-2-cajones-2-bandejas-de-acero-inoxidable-adicionales/p/MLM53478824?pdp_filters=item_id:MLM2495739491" TargetMode="External"/><Relationship Id="rId61" Type="http://schemas.openxmlformats.org/officeDocument/2006/relationships/hyperlink" Target="https://articulo.mercadolibre.com.mx/MLM-1908345425-mesa-pasteur-para-dialisis-con-portasueros-envio-gratis-_JM" TargetMode="External"/><Relationship Id="rId60" Type="http://schemas.openxmlformats.org/officeDocument/2006/relationships/hyperlink" Target="https://www.mercadolibre.com.mx/mesa-pasteur-totalmente-de-acero-inoxidable/p/MLM2038743361?pdp_filters=item_id:MLM682599918" TargetMode="External"/><Relationship Id="rId6" Type="http://schemas.openxmlformats.org/officeDocument/2006/relationships/hyperlink" Target="https://www.mercadolibre.com.mx/andadera-ortopedica-fija-tikun-para-adulto-plegable-de-aluminio-negro/p/MLM39425142" TargetMode="External"/><Relationship Id="rId59" Type="http://schemas.openxmlformats.org/officeDocument/2006/relationships/hyperlink" Target="https://www.mercadolibre.com.mx/mesa-pasteur-100-acero-inoxidable-60x40x90-cm/p/MLM46857981?pdp_filters=item_id:MLM3587999114" TargetMode="External"/><Relationship Id="rId58" Type="http://schemas.openxmlformats.org/officeDocument/2006/relationships/hyperlink" Target="https://www.mercadolibre.com.mx/mesa-pasteur-con-cajon-uso-rudo-envio-gratis-facturada/p/MLM2039970772?pdp_filters=item_id:MLM2294543411" TargetMode="External"/><Relationship Id="rId57" Type="http://schemas.openxmlformats.org/officeDocument/2006/relationships/hyperlink" Target="https://www.mercadolibre.com.mx/cuchillas-de-cepillo-hss-de-82-mm-para-makita-y-otras-marcas/up/MLMU2960683890" TargetMode="External"/><Relationship Id="rId56" Type="http://schemas.openxmlformats.org/officeDocument/2006/relationships/hyperlink" Target="https://articulo.mercadolibre.com.mx/MLM-3524980456-boquilla-doble-fumigadora-aspersora-riego-jardin-agricola-_JM" TargetMode="External"/><Relationship Id="rId55" Type="http://schemas.openxmlformats.org/officeDocument/2006/relationships/hyperlink" Target="https://www.mercadolibre.com.mx/grapa-soporte-para-parrilla-de-enfriadores-de-botella-10-pz/up/MLMU3016883766" TargetMode="External"/><Relationship Id="rId54" Type="http://schemas.openxmlformats.org/officeDocument/2006/relationships/hyperlink" Target="https://articulo.mercadolibre.com.mx/MLM-3037455258-letras-y-numeros-de-golpe-3-mm-con-estuche-36-pzs-set-_JM?pdp_filters=condition:new|adult_content:yes|seller_id:1716340987" TargetMode="External"/><Relationship Id="rId53" Type="http://schemas.openxmlformats.org/officeDocument/2006/relationships/hyperlink" Target="https://articulo.mercadolibre.com.mx/MLM-2202811829-cuenta-golpes-5-digitos-alta-calidad-cuenta-pacas-_JM" TargetMode="External"/><Relationship Id="rId52" Type="http://schemas.openxmlformats.org/officeDocument/2006/relationships/hyperlink" Target="https://www.mercadolibre.com.mx/4-unidades-goma-pointer-base-gol-saveiro-jetta-a4-a3/up/MLMU3074297946" TargetMode="External"/><Relationship Id="rId51" Type="http://schemas.openxmlformats.org/officeDocument/2006/relationships/hyperlink" Target="https://www.mercadolibre.com.mx/valvula-reguladora-para-compresores-2550l-19327/up/MLMU472843472" TargetMode="External"/><Relationship Id="rId50" Type="http://schemas.openxmlformats.org/officeDocument/2006/relationships/hyperlink" Target="https://articulo.mercadolibre.com.mx/MLM-2331302585-cepillo-para-limpiar-manguera-de-acuario-155-cm-azul-_JM" TargetMode="External"/><Relationship Id="rId5" Type="http://schemas.openxmlformats.org/officeDocument/2006/relationships/hyperlink" Target="https://www.mercadolibre.com.mx/andadera-ortopedica-de-doble-apoyo-para-adulto-andador-ortopedico-de-aluminio-plegable-soporta-100kg-tikun-color-negro/p/MLM40376956" TargetMode="External"/><Relationship Id="rId49" Type="http://schemas.openxmlformats.org/officeDocument/2006/relationships/hyperlink" Target="https://articulo.mercadolibre.com.mx/MLM-3852597286-herramienta-para-cortar-roscas-de-tubos-de-pvc-de-12-y-34-_JM" TargetMode="External"/><Relationship Id="rId48" Type="http://schemas.openxmlformats.org/officeDocument/2006/relationships/hyperlink" Target="https://articulo.mercadolibre.com.mx/MLM-3421060542-360-gira-el-grifo-del-fregadero-de-la-tercera-marcha-2pcs-_JM?searchVariation=185598485935" TargetMode="External"/><Relationship Id="rId47" Type="http://schemas.openxmlformats.org/officeDocument/2006/relationships/hyperlink" Target="https://articulo.mercadolibre.com.mx/MLM-2940813606-toldo-techo-para-puerta-ventana-de-policarbonato-120-x-80cm-_JM?searchVariation=180049397326&amp;pdp_filters=seller_id:1372702893" TargetMode="External"/><Relationship Id="rId46" Type="http://schemas.openxmlformats.org/officeDocument/2006/relationships/hyperlink" Target="https://www.mercadolibre.com.mx/porta-suero-tripie-base-de-metalica-4-ganchos-ajustable/up/MLMU3439512412#polycard_client=search_best-seller&amp;tracking_id=9d1b34c6-9202-4e3e-bc85-8f191599ab49&amp;wid=MLM4111535692&amp;sid=search" TargetMode="External"/><Relationship Id="rId45" Type="http://schemas.openxmlformats.org/officeDocument/2006/relationships/hyperlink" Target="https://articulo.mercadolibre.com.mx/MLM-4244427330-porta-suero-con-base-de-acero-inoxidable-4-ganchos-ajustable-_JM#polycard_client=search_best-seller&amp;tracking_id=9d1b34c6-9202-4e3e-bc85-8f191599ab49" TargetMode="External"/><Relationship Id="rId44" Type="http://schemas.openxmlformats.org/officeDocument/2006/relationships/hyperlink" Target="https://www.mercadolibre.com.mx/50plato-baseplato-base-doradopara-ventodecoracion-de-mesa/up/MLMU2888530881" TargetMode="External"/><Relationship Id="rId43" Type="http://schemas.openxmlformats.org/officeDocument/2006/relationships/hyperlink" Target="https://www.mercadolibre.com.mx/bobina-encendido-peugeot-206-207-308-partner-16-20012013/up/MLMU694178379?pdp_filters=item_id:MLM1343484405" TargetMode="External"/><Relationship Id="rId42" Type="http://schemas.openxmlformats.org/officeDocument/2006/relationships/hyperlink" Target="https://www.mercadolibre.com.mx/bomba-vacio-chevrolet-s10-malibu-20-25-2016-2017-20182022/up/MLMU3359981632?pdp_filters=item_id:MLM2406157361" TargetMode="External"/><Relationship Id="rId41" Type="http://schemas.openxmlformats.org/officeDocument/2006/relationships/hyperlink" Target="https://www.mercadolibre.com.mx/bomba-vacio-booster-frenos-trax-onix-10-12-2021-2022/up/MLMU3114351752?pdp_filters=item_id:MLM3625922068" TargetMode="External"/><Relationship Id="rId40" Type="http://schemas.openxmlformats.org/officeDocument/2006/relationships/hyperlink" Target="https://www.mercadolibre.com.mx/resorte-reloj-pista-carrete-espiral-toyota-tacoma-20052014/up/MLMU3186312660?pdp_filters=item_id:MLM3699651024" TargetMode="External"/><Relationship Id="rId4" Type="http://schemas.openxmlformats.org/officeDocument/2006/relationships/hyperlink" Target="https://articulo.mercadolibre.com.mx/MLM-3574040868-mesa-mayo-con-charola-acero-inoxidable-ajustable-uso-rudo-_JM" TargetMode="External"/><Relationship Id="rId39" Type="http://schemas.openxmlformats.org/officeDocument/2006/relationships/hyperlink" Target="https://articulo.mercadolibre.com.mx/MLM-1728368001-resorte-de-reloj-para-toyota-tacoma-corolla-2009-2013-bsj-_JM" TargetMode="External"/><Relationship Id="rId38" Type="http://schemas.openxmlformats.org/officeDocument/2006/relationships/hyperlink" Target="https://articulo.mercadolibre.com.mx/MLM-3438368768-resorte-reloj-sensor-para-jeep-patriot-2007-a-2016-_JM" TargetMode="External"/><Relationship Id="rId37" Type="http://schemas.openxmlformats.org/officeDocument/2006/relationships/hyperlink" Target="https://articulo.mercadolibre.com.mx/MLM-2670075570-pista-espiral-volante-claxon-bolsa-versa-12-19-march-12-20-_JM" TargetMode="External"/><Relationship Id="rId36" Type="http://schemas.openxmlformats.org/officeDocument/2006/relationships/hyperlink" Target="https://www.mercadolibre.com.mx/modulo-ventilador-ford-fusion-lincoln-mkz-35-2010-2011-2012/up/MLMU3167952861?pdp_filters=item_id:MLM2307567193" TargetMode="External"/><Relationship Id="rId35" Type="http://schemas.openxmlformats.org/officeDocument/2006/relationships/hyperlink" Target="https://articulo.mercadolibre.com.mx/MLM-2393311695-modulo-moto-ventilador-ford-edge-35l-2007-al-2015-_JM" TargetMode="External"/><Relationship Id="rId34" Type="http://schemas.openxmlformats.org/officeDocument/2006/relationships/hyperlink" Target="https://articulo.mercadolibre.com.mx/MLM-2219378907-par-de-amortiguadores-cajuela-seat-ibiza-2003-2009-_JM" TargetMode="External"/><Relationship Id="rId33" Type="http://schemas.openxmlformats.org/officeDocument/2006/relationships/hyperlink" Target="https://articulo.mercadolibre.com.mx/MLM-2331455809-valvula-solenoide-vvt-nissan-tiida-versa-18-2007-2015-nuevo-_JM" TargetMode="External"/><Relationship Id="rId32" Type="http://schemas.openxmlformats.org/officeDocument/2006/relationships/hyperlink" Target="https://articulo.mercadolibre.com.mx/MLM-2166283691-valvula-selenoide-vtec-para-honda-crv-24l-anos-2002-2009-_JM#polycard_client=search_best-seller&amp;tracking_id=e9ca670c-8b60-4804-ba37-94a81c0ba396&amp;wid=MLM2166283691&amp;sid=search" TargetMode="External"/><Relationship Id="rId31" Type="http://schemas.openxmlformats.org/officeDocument/2006/relationships/hyperlink" Target="https://articulo.mercadolibre.com.mx/MLM-2264069447-par-solenoide-vvt-captiva-equinox-hhr-malibu-terrain-nuevo-_JM#polycard_client=search_best-seller&amp;tracking_id=9e0727a3-de60-4246-8cf6-107bae10046a&amp;wid=MLM2264069447&amp;sid=search" TargetMode="External"/><Relationship Id="rId30" Type="http://schemas.openxmlformats.org/officeDocument/2006/relationships/hyperlink" Target="https://articulo.mercadolibre.com.mx/MLM-2048104771-bobina-encendido-f-350-super-duty-54l-99-04-fd503-ic39-_JM" TargetMode="External"/><Relationship Id="rId3" Type="http://schemas.openxmlformats.org/officeDocument/2006/relationships/hyperlink" Target="https://articulo.mercadolibre.com.mx/MLM-1814941696-mesa-pasteur-con-cajon-rodable-uso-rudo-envio-gratis-_JM" TargetMode="External"/><Relationship Id="rId29" Type="http://schemas.openxmlformats.org/officeDocument/2006/relationships/hyperlink" Target="https://articulo.mercadolibre.com.mx/MLM-2595008336-bobina-encendido-x-trail-25-2002-2003-2004-2005-2006-2007-_JM" TargetMode="External"/><Relationship Id="rId28" Type="http://schemas.openxmlformats.org/officeDocument/2006/relationships/hyperlink" Target="https://articulo.mercadolibre.com.mx/MLM-2781577598-bomba-vacio-vw-golf-beetle-bora-passat-jetta-25-2005-2017-_JM" TargetMode="External"/><Relationship Id="rId27" Type="http://schemas.openxmlformats.org/officeDocument/2006/relationships/hyperlink" Target="https://articulo.mercadolibre.com.mx/MLM-2283820517-bomba-vacio-cruze-spark-malibu-14-15-2016-2017-2018-2019-_JM#polycard_client=search_best-seller&amp;tracking_id=0b0dbe29-5eda-4616-8069-322daa9e055a" TargetMode="External"/><Relationship Id="rId26" Type="http://schemas.openxmlformats.org/officeDocument/2006/relationships/hyperlink" Target="https://www.mercadolibre.com.mx/marcha-para-chevrolet-chevy-19942012-astra-corsa-0008-9d/up/MLMU2581993142?pdp_filters=item_id:MLM2171330789" TargetMode="External"/><Relationship Id="rId25" Type="http://schemas.openxmlformats.org/officeDocument/2006/relationships/hyperlink" Target="https://www.mercadolibre.com.mx/marcha-p-chevrolet-c1500-c2500-c3500-silverado-suburban-11d/up/MLMU2836302409#polycard_client=search_best-seller&amp;tracking_id=e485248c-2905-47ae-bd09-2a75f1d94977&amp;wid=MLM3472649120&amp;sid=search" TargetMode="External"/><Relationship Id="rId24" Type="http://schemas.openxmlformats.org/officeDocument/2006/relationships/hyperlink" Target="https://www.mercadolibre.com.mx/marcha-tsuru-19842017-sentra-821999-transmision-std-8-dts/up/MLMU509343700#polycard_client=search_best-seller&amp;tracking_id=36da195b-0e57-462b-8963-8765c8e102b9&amp;wid=MLM3098337328&amp;sid=search" TargetMode="External"/><Relationship Id="rId23" Type="http://schemas.openxmlformats.org/officeDocument/2006/relationships/hyperlink" Target="https://www.mercadolibre.com.mx/marcha-para-nissan-versa-tiida-march-note-20092019-16l/up/MLMU2908349051#polycard_client=search_best-seller&amp;tracking_id=9d239245-9811-4bc1-aa4b-95c57c8549b5&amp;wid=MLM2209491185&amp;sid=search" TargetMode="External"/><Relationship Id="rId22" Type="http://schemas.openxmlformats.org/officeDocument/2006/relationships/hyperlink" Target="https://www.mercadolibre.com.mx/marcha-para-chevrolet-aveo-0417-tornado-0410-pontiac-g3/up/MLMU2863668269#polycard_client=search_best-seller&amp;tracking_id=0f2c14e6-eaa7-4f26-87e4-67e0a36b0da7&amp;wid=MLM3481305334&amp;sid=search" TargetMode="External"/><Relationship Id="rId21" Type="http://schemas.openxmlformats.org/officeDocument/2006/relationships/hyperlink" Target="https://articulo.mercadolibre.com.mx/MLM-3359259692-marcha-volkswage-golf-jetta-87-99-caribe-78-89-encendido-_JM#polycard_client=search_best-seller&amp;tracking_id=4de6f91b-01bf-43f2-bd15-e757002642ed" TargetMode="External"/><Relationship Id="rId20" Type="http://schemas.openxmlformats.org/officeDocument/2006/relationships/hyperlink" Target="https://articulo.mercadolibre.com.mx/MLM-2236159097-resorte-reloj-para-elantra-sonata-2011-2012-2013-2014-2015-_JM" TargetMode="External"/><Relationship Id="rId2" Type="http://schemas.openxmlformats.org/officeDocument/2006/relationships/hyperlink" Target="https://articulo.mercadolibre.com.mx/MLM-3868986366-mesa-para-intrumental-medico-mesa-pasteur-mesa-con-4-ruedas-_JM" TargetMode="External"/><Relationship Id="rId19" Type="http://schemas.openxmlformats.org/officeDocument/2006/relationships/hyperlink" Target="https://articulo.mercadolibre.com.mx/MLM-2449200213-fy-carrete-resorte-reloj-espiral-for-aveo-ng-201821-_JM" TargetMode="External"/><Relationship Id="rId18" Type="http://schemas.openxmlformats.org/officeDocument/2006/relationships/hyperlink" Target="https://articulo.mercadolibre.com.mx/MLM-2825542114-resorte-reloj-pista-carrete-nissan-x-trail-2008-2014-1-cable-_JM" TargetMode="External"/><Relationship Id="rId17" Type="http://schemas.openxmlformats.org/officeDocument/2006/relationships/hyperlink" Target="https://articulo.mercadolibre.com.mx/MLM-3581485390-fy-pista-carrete-resorte-reloj-para-chevrolet-beat-2018-2021-_JM" TargetMode="External"/><Relationship Id="rId16" Type="http://schemas.openxmlformats.org/officeDocument/2006/relationships/hyperlink" Target="https://www.mercadolibre.com.mx/resorte-reloj-ssensor-angulo-compass-patriot-200-20072018/up/MLMU441480915?pdp_filters=item_id:MLM1303895713" TargetMode="External"/><Relationship Id="rId15" Type="http://schemas.openxmlformats.org/officeDocument/2006/relationships/hyperlink" Target="https://articulo.mercadolibre.com.mx/MLM-3447497418-resorte-reloj-pista-carrete-para-nissan-x-tail-tiida-07-18-_JM" TargetMode="External"/><Relationship Id="rId14" Type="http://schemas.openxmlformats.org/officeDocument/2006/relationships/hyperlink" Target="https://articulo.mercadolibre.com.mx/MLM-2043929789-resorte-reloj-84306-22010-para-2006-2014-toyota-yaris-_JM?searchVariation=180208397214" TargetMode="External"/><Relationship Id="rId13" Type="http://schemas.openxmlformats.org/officeDocument/2006/relationships/hyperlink" Target="https://www.mercadolibre.com.mx/alternador-para-fiat-uno-mobi-500-092023-ram-rapid-1723/up/MLMU458091911#polycard_client=search_best-seller&amp;tracking_id=c00fdf92-bf20-49d5-890d-57c15933cb7e&amp;wid=MLM3311433164&amp;sid=search" TargetMode="External"/><Relationship Id="rId12" Type="http://schemas.openxmlformats.org/officeDocument/2006/relationships/hyperlink" Target="https://articulo.mercadolibre.com.mx/MLM-3117809716-alternador-chevrolet-aveo-15-85a-2018-2019-2020-2021-2022-_JM#polycard_client=search_best-seller&amp;tracking_id=308eb0f8-3e9c-40b5-988b-e5fca241b761" TargetMode="External"/><Relationship Id="rId11" Type="http://schemas.openxmlformats.org/officeDocument/2006/relationships/hyperlink" Target="https://articulo.mercadolibre.com.mx/MLM-2153237685-modulo-ventilador-ford-land-rover-jaguar-volvo-s60-xc60-_JM" TargetMode="External"/><Relationship Id="rId10" Type="http://schemas.openxmlformats.org/officeDocument/2006/relationships/hyperlink" Target="https://www.mercadolibre.com.mx/modulo-control-ventilador-focus-2-mazda-3-volvo-c30-s40-v50/up/MLMU465628608?pdp_filters=item_id:MLM1593435083" TargetMode="External"/><Relationship Id="rId1" Type="http://schemas.openxmlformats.org/officeDocument/2006/relationships/hyperlink" Target="https://www.mercadolibre.com.mx/yyugolo-mesa-cromada-uso-rudo-sencilla-con-ruedas-inoxidable/p/MLM44663342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articulo.mercadolibre.com.mx/MLM-3623005456-porta-sueros-acero-inox-3-ruedas-base-de-hierro-con-cubierta-_JM" TargetMode="External"/><Relationship Id="rId8" Type="http://schemas.openxmlformats.org/officeDocument/2006/relationships/hyperlink" Target="https://articulo.mercadolibre.com.mx/MLM-3706922512-tripode-versatil-con-base-de-metal-y-4-ganchos-ajustables-_JM" TargetMode="External"/><Relationship Id="rId7" Type="http://schemas.openxmlformats.org/officeDocument/2006/relationships/hyperlink" Target="https://www.mercadolibre.com.mx/andadera-ortopedica-con-ruedas-dewinner-hs-zlq-color-plateado/p/MLM46641363" TargetMode="External"/><Relationship Id="rId6" Type="http://schemas.openxmlformats.org/officeDocument/2006/relationships/hyperlink" Target="https://www.mercadolibre.com.mx/andadera-ortopedica-fija-tikun-para-adulto-plegable-de-aluminio-negro/p/MLM39425142" TargetMode="External"/><Relationship Id="rId5" Type="http://schemas.openxmlformats.org/officeDocument/2006/relationships/hyperlink" Target="https://www.mercadolibre.com.mx/andadera-ortopedica-de-doble-apoyo-para-adulto-andador-ortopedico-de-aluminio-plegable-soporta-100kg-tikun-color-negro/p/MLM40376956" TargetMode="External"/><Relationship Id="rId49" Type="http://schemas.openxmlformats.org/officeDocument/2006/relationships/hyperlink" Target="https://articulo.mercadolibre.com.mx/MLM-2219378907-par-de-amortiguadores-cajuela-seat-ibiza-2003-2009-_JM" TargetMode="External"/><Relationship Id="rId48" Type="http://schemas.openxmlformats.org/officeDocument/2006/relationships/hyperlink" Target="https://articulo.mercadolibre.com.mx/MLM-1614210250-2-amortiguadores-cajuela-jetta-a4-1999-2015-_JM" TargetMode="External"/><Relationship Id="rId47" Type="http://schemas.openxmlformats.org/officeDocument/2006/relationships/hyperlink" Target="https://articulo.mercadolibre.com.mx/MLM-3358122728-par-de-amortiguadores-cajuela-vw-pointer-1998-al-2009-oep-_JM" TargetMode="External"/><Relationship Id="rId46" Type="http://schemas.openxmlformats.org/officeDocument/2006/relationships/hyperlink" Target="https://articulo.mercadolibre.com.mx/MLM-2145154299-par-de-amortiguadores-de-cajuela-para-nissan-march-2012-2018-_JM" TargetMode="External"/><Relationship Id="rId45" Type="http://schemas.openxmlformats.org/officeDocument/2006/relationships/hyperlink" Target="https://articulo.mercadolibre.com.mx/MLM-2331455809-valvula-solenoide-vvt-nissan-tiida-versa-18-2007-2015-nuevo-_JM" TargetMode="External"/><Relationship Id="rId44" Type="http://schemas.openxmlformats.org/officeDocument/2006/relationships/hyperlink" Target="https://articulo.mercadolibre.com.mx/MLM-2166283691-valvula-selenoide-vtec-para-honda-crv-24l-anos-2002-2009-_JM#polycard_client=search_best-seller&amp;tracking_id=e9ca670c-8b60-4804-ba37-94a81c0ba396&amp;wid=MLM2166283691&amp;sid=search" TargetMode="External"/><Relationship Id="rId43" Type="http://schemas.openxmlformats.org/officeDocument/2006/relationships/hyperlink" Target="https://articulo.mercadolibre.com.mx/MLM-2264069447-par-solenoide-vvt-captiva-equinox-hhr-malibu-terrain-nuevo-_JM#polycard_client=search_best-seller&amp;tracking_id=9e0727a3-de60-4246-8cf6-107bae10046a&amp;wid=MLM2264069447&amp;sid=search" TargetMode="External"/><Relationship Id="rId42" Type="http://schemas.openxmlformats.org/officeDocument/2006/relationships/hyperlink" Target="https://www.mercadolibre.com.mx/bobina-encendido-peugeot-206-207-308-partner-16-20012013/up/MLMU3121601721?pdp_filters=item_id:MLM3637838530" TargetMode="External"/><Relationship Id="rId41" Type="http://schemas.openxmlformats.org/officeDocument/2006/relationships/hyperlink" Target="https://articulo.mercadolibre.com.mx/MLM-2048104771-bobina-encendido-f-350-super-duty-54l-99-04-fd503-ic39-_JM" TargetMode="External"/><Relationship Id="rId40" Type="http://schemas.openxmlformats.org/officeDocument/2006/relationships/hyperlink" Target="https://articulo.mercadolibre.com.mx/MLM-2595008336-bobina-encendido-x-trail-25-2002-2003-2004-2005-2006-2007-_JM" TargetMode="External"/><Relationship Id="rId4" Type="http://schemas.openxmlformats.org/officeDocument/2006/relationships/hyperlink" Target="https://articulo.mercadolibre.com.mx/MLM-3574040868-mesa-mayo-con-charola-acero-inoxidable-ajustable-uso-rudo-_JM" TargetMode="External"/><Relationship Id="rId39" Type="http://schemas.openxmlformats.org/officeDocument/2006/relationships/hyperlink" Target="https://articulo.mercadolibre.com.mx/MLM-2781577598-bomba-vacio-vw-golf-beetle-bora-passat-jetta-25-2005-2017-_JM" TargetMode="External"/><Relationship Id="rId38" Type="http://schemas.openxmlformats.org/officeDocument/2006/relationships/hyperlink" Target="https://www.mercadolibre.com.mx/bomba-vacio-chevrolet-s10-malibu-20-25-2016-2017-20182022/up/MLMU2502681322?pdp_filters=item_id:MLM2168608013" TargetMode="External"/><Relationship Id="rId37" Type="http://schemas.openxmlformats.org/officeDocument/2006/relationships/hyperlink" Target="https://articulo.mercadolibre.com.mx/MLM-2283820517-bomba-vacio-cruze-spark-malibu-14-15-2016-2017-2018-2019-_JM#polycard_client=search_best-seller&amp;tracking_id=0b0dbe29-5eda-4616-8069-322daa9e055a" TargetMode="External"/><Relationship Id="rId36" Type="http://schemas.openxmlformats.org/officeDocument/2006/relationships/hyperlink" Target="https://www.mercadolibre.com.mx/bomba-vacio-frenos-booster-onix-10-12-2021-2022-2023/up/MLMU972477112#polycard_client=search_best-seller&amp;tracking_id=3c18b138-a467-4712-b0f4-7ba7befef20b&amp;wid=MLM3063989286&amp;sid=search" TargetMode="External"/><Relationship Id="rId35" Type="http://schemas.openxmlformats.org/officeDocument/2006/relationships/hyperlink" Target="https://www.mercadolibre.com.mx/marcha-para-chevrolet-chevy-19942012-astra-corsa-0008-9d/up/MLMU2581993142?pdp_filters=item_id:MLM2171330789" TargetMode="External"/><Relationship Id="rId34" Type="http://schemas.openxmlformats.org/officeDocument/2006/relationships/hyperlink" Target="https://www.mercadolibre.com.mx/marcha-p-chevrolet-c1500-c2500-c3500-silverado-suburban-11d/up/MLMU2836302409#polycard_client=search_best-seller&amp;tracking_id=e485248c-2905-47ae-bd09-2a75f1d94977&amp;wid=MLM3472649120&amp;sid=search" TargetMode="External"/><Relationship Id="rId33" Type="http://schemas.openxmlformats.org/officeDocument/2006/relationships/hyperlink" Target="https://www.mercadolibre.com.mx/marcha-tsuru-19842017-sentra-821999-transmision-std-8-dts/up/MLMU509343700#polycard_client=search_best-seller&amp;tracking_id=36da195b-0e57-462b-8963-8765c8e102b9&amp;wid=MLM3098337328&amp;sid=search" TargetMode="External"/><Relationship Id="rId32" Type="http://schemas.openxmlformats.org/officeDocument/2006/relationships/hyperlink" Target="https://www.mercadolibre.com.mx/marcha-para-nissan-versa-tiida-march-note-20092019-16l/up/MLMU2908349051#polycard_client=search_best-seller&amp;tracking_id=9d239245-9811-4bc1-aa4b-95c57c8549b5&amp;wid=MLM2209491185&amp;sid=search" TargetMode="External"/><Relationship Id="rId31" Type="http://schemas.openxmlformats.org/officeDocument/2006/relationships/hyperlink" Target="https://www.mercadolibre.com.mx/marcha-para-chevrolet-aveo-0417-tornado-0410-pontiac-g3/up/MLMU2863668269#polycard_client=search_best-seller&amp;tracking_id=0f2c14e6-eaa7-4f26-87e4-67e0a36b0da7&amp;wid=MLM3481305334&amp;sid=search" TargetMode="External"/><Relationship Id="rId30" Type="http://schemas.openxmlformats.org/officeDocument/2006/relationships/hyperlink" Target="https://articulo.mercadolibre.com.mx/MLM-3359259692-marcha-volkswage-golf-jetta-87-99-caribe-78-89-encendido-_JM#polycard_client=search_best-seller&amp;tracking_id=4de6f91b-01bf-43f2-bd15-e757002642ed" TargetMode="External"/><Relationship Id="rId3" Type="http://schemas.openxmlformats.org/officeDocument/2006/relationships/hyperlink" Target="https://articulo.mercadolibre.com.mx/MLM-1814941696-mesa-pasteur-con-cajon-rodable-uso-rudo-envio-gratis-_JM" TargetMode="External"/><Relationship Id="rId29" Type="http://schemas.openxmlformats.org/officeDocument/2006/relationships/hyperlink" Target="https://articulo.mercadolibre.com.mx/MLM-2236159097-resorte-reloj-para-elantra-sonata-2011-2012-2013-2014-2015-_JM" TargetMode="External"/><Relationship Id="rId28" Type="http://schemas.openxmlformats.org/officeDocument/2006/relationships/hyperlink" Target="https://articulo.mercadolibre.com.mx/MLM-2449200213-fy-carrete-resorte-reloj-espiral-for-aveo-ng-201821-_JM" TargetMode="External"/><Relationship Id="rId27" Type="http://schemas.openxmlformats.org/officeDocument/2006/relationships/hyperlink" Target="https://articulo.mercadolibre.com.mx/MLM-2984293136-resorte-reloj-pista-carrete-espiral-para-toyota-tacoma-05-14-_JM" TargetMode="External"/><Relationship Id="rId26" Type="http://schemas.openxmlformats.org/officeDocument/2006/relationships/hyperlink" Target="https://articulo.mercadolibre.com.mx/MLM-2825542114-resorte-reloj-pista-carrete-nissan-x-trail-2008-2014-1-cable-_JM" TargetMode="External"/><Relationship Id="rId25" Type="http://schemas.openxmlformats.org/officeDocument/2006/relationships/hyperlink" Target="https://articulo.mercadolibre.com.mx/MLM-3581485390-fy-pista-carrete-resorte-reloj-para-chevrolet-beat-2018-2021-_JM" TargetMode="External"/><Relationship Id="rId24" Type="http://schemas.openxmlformats.org/officeDocument/2006/relationships/hyperlink" Target="https://www.mercadolibre.com.mx/resorte-reloj-ssensor-angulo-compass-patriot-200-20072018/up/MLMU441480915?pdp_filters=item_id:MLM1303895713" TargetMode="External"/><Relationship Id="rId23" Type="http://schemas.openxmlformats.org/officeDocument/2006/relationships/hyperlink" Target="https://www.mercadolibre.com.mx/resorte-reloj-pista-carrete-espiral-toyota-camry-20072011/up/MLMU460023608" TargetMode="External"/><Relationship Id="rId22" Type="http://schemas.openxmlformats.org/officeDocument/2006/relationships/hyperlink" Target="https://articulo.mercadolibre.com.mx/MLM-3447497418-resorte-reloj-pista-carrete-para-nissan-x-tail-tiida-07-18-_JM" TargetMode="External"/><Relationship Id="rId21" Type="http://schemas.openxmlformats.org/officeDocument/2006/relationships/hyperlink" Target="https://www.mercadolibre.com.mx/resorte-reloj-para-nissan-versa-20122019-march-20122020/up/MLMU3456978388?pdp_filters=item_id:MLM4140635172" TargetMode="External"/><Relationship Id="rId20" Type="http://schemas.openxmlformats.org/officeDocument/2006/relationships/hyperlink" Target="https://articulo.mercadolibre.com.mx/MLM-2385030823-resorte-reloj-sensor-angulo-para-jeep-patriot-2007-2016-_JM" TargetMode="External"/><Relationship Id="rId2" Type="http://schemas.openxmlformats.org/officeDocument/2006/relationships/hyperlink" Target="https://articulo.mercadolibre.com.mx/MLM-3868986366-mesa-para-intrumental-medico-mesa-pasteur-mesa-con-4-ruedas-_JM" TargetMode="External"/><Relationship Id="rId19" Type="http://schemas.openxmlformats.org/officeDocument/2006/relationships/hyperlink" Target="https://www.mercadolibre.com.mx/muelle-de-reloj-en-espiral-for-mazda-3-20042009/up/MLMU3334329911" TargetMode="External"/><Relationship Id="rId18" Type="http://schemas.openxmlformats.org/officeDocument/2006/relationships/hyperlink" Target="https://articulo.mercadolibre.com.mx/MLM-2043929789-resorte-reloj-84306-22010-para-2006-2014-toyota-yaris-_JM?searchVariation=180208397214" TargetMode="External"/><Relationship Id="rId17" Type="http://schemas.openxmlformats.org/officeDocument/2006/relationships/hyperlink" Target="https://www.mercadolibre.com.mx/muelle-de-reloj-para-nissan-navara-d23-np300/up/MLMU3017592658" TargetMode="External"/><Relationship Id="rId16" Type="http://schemas.openxmlformats.org/officeDocument/2006/relationships/hyperlink" Target="https://www.mercadolibre.com.mx/alternador-para-fiat-uno-mobi-500-092023-ram-rapid-1723/up/MLMU458091911#polycard_client=search_best-seller&amp;tracking_id=c00fdf92-bf20-49d5-890d-57c15933cb7e&amp;wid=MLM3311433164&amp;sid=search" TargetMode="External"/><Relationship Id="rId15" Type="http://schemas.openxmlformats.org/officeDocument/2006/relationships/hyperlink" Target="https://articulo.mercadolibre.com.mx/MLM-3117809716-alternador-chevrolet-aveo-15-85a-2018-2019-2020-2021-2022-_JM#polycard_client=search_best-seller&amp;tracking_id=308eb0f8-3e9c-40b5-988b-e5fca241b761" TargetMode="External"/><Relationship Id="rId14" Type="http://schemas.openxmlformats.org/officeDocument/2006/relationships/hyperlink" Target="https://www.mercadolibre.com.mx/modulo-ventilador-ford-fusion-lincoln-mkz-35-2010-2011-2012/up/MLMU3239342456?pdp_filters=item_id:MLM2340354617" TargetMode="External"/><Relationship Id="rId13" Type="http://schemas.openxmlformats.org/officeDocument/2006/relationships/hyperlink" Target="https://articulo.mercadolibre.com.mx/MLM-2153237685-modulo-ventilador-ford-land-rover-jaguar-volvo-s60-xc60-_JM" TargetMode="External"/><Relationship Id="rId12" Type="http://schemas.openxmlformats.org/officeDocument/2006/relationships/hyperlink" Target="https://www.mercadolibre.com.mx/modulo-control-ventilador-focus-2-mazda-3-volvo-c30-s40-v50/up/MLMU465628608?pdp_filters=item_id:MLM1593435083" TargetMode="External"/><Relationship Id="rId11" Type="http://schemas.openxmlformats.org/officeDocument/2006/relationships/hyperlink" Target="https://www.mercadolibre.com.mx/modulo-moto-ventilador-ford-edge-35l-2007-al-2015/up/MLMU806201811?pdp_filters=item_id:MLM2106577671" TargetMode="External"/><Relationship Id="rId10" Type="http://schemas.openxmlformats.org/officeDocument/2006/relationships/hyperlink" Target="https://articulo.mercadolibre.com.mx/MLM-1876794321-modulo-ventilador-para-mazda-3-5-ford-focus-fusion-escape-_JM" TargetMode="External"/><Relationship Id="rId1" Type="http://schemas.openxmlformats.org/officeDocument/2006/relationships/hyperlink" Target="https://www.mercadolibre.com.mx/yyugolo-mesa-cromada-uso-rudo-sencilla-con-ruedas-inoxidable/p/MLM446633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S144"/>
  <sheetViews>
    <sheetView tabSelected="1" zoomScale="70" zoomScaleNormal="70" workbookViewId="0">
      <pane ySplit="2" topLeftCell="A3" activePane="bottomLeft" state="frozen"/>
      <selection/>
      <selection pane="bottomLeft" activeCell="DU11" sqref="$A1:$XFD1048576"/>
    </sheetView>
  </sheetViews>
  <sheetFormatPr defaultColWidth="11.3333333333333" defaultRowHeight="48.2" customHeight="1"/>
  <cols>
    <col min="1" max="1" width="7.88888888888889" style="128" customWidth="1"/>
    <col min="2" max="2" width="9.66666666666667" style="128" customWidth="1"/>
    <col min="3" max="3" width="10.6666666666667" style="128" customWidth="1"/>
    <col min="4" max="4" width="9.88888888888889" style="128" customWidth="1"/>
    <col min="5" max="5" width="16.5111111111111" style="128" customWidth="1"/>
    <col min="6" max="6" width="5.66666666666667" style="128" customWidth="1"/>
    <col min="7" max="7" width="10.3333333333333" style="128" customWidth="1"/>
    <col min="8" max="8" width="12.6740740740741" style="129" customWidth="1"/>
    <col min="9" max="9" width="8.33333333333333" style="128" customWidth="1"/>
    <col min="10" max="10" width="18.6740740740741" style="130" customWidth="1"/>
    <col min="11" max="11" width="21.2666666666667" style="128" customWidth="1"/>
    <col min="12" max="12" width="14.1259259259259" style="128" customWidth="1"/>
    <col min="13" max="13" width="7.80740740740741" style="128" customWidth="1"/>
    <col min="14" max="14" width="10.6962962962963" style="128" customWidth="1"/>
    <col min="15" max="15" width="12.6666666666667" style="128" customWidth="1"/>
    <col min="16" max="16" width="6.47407407407407" style="128" customWidth="1"/>
    <col min="17" max="18" width="7.59259259259259" style="128" customWidth="1"/>
    <col min="19" max="19" width="10.3185185185185" style="128" customWidth="1"/>
    <col min="20" max="22" width="7.59259259259259" style="128" customWidth="1"/>
    <col min="23" max="23" width="8.14814814814815" style="128" customWidth="1"/>
    <col min="24" max="24" width="7.59259259259259" style="128" customWidth="1"/>
    <col min="25" max="26" width="6.47407407407407" style="128" hidden="1" customWidth="1"/>
    <col min="27" max="27" width="8.88888888888889" style="128" hidden="1" customWidth="1"/>
    <col min="28" max="31" width="6.47407407407407" style="128" hidden="1" customWidth="1"/>
    <col min="32" max="38" width="6.47407407407407" style="128" customWidth="1"/>
    <col min="39" max="39" width="6.47407407407407" style="128" hidden="1" customWidth="1"/>
    <col min="40" max="40" width="8" style="128" hidden="1" customWidth="1"/>
    <col min="41" max="41" width="11.3333333333333" style="128" hidden="1" customWidth="1"/>
    <col min="42" max="43" width="10.7777777777778" style="128" hidden="1" customWidth="1"/>
    <col min="44" max="44" width="11.1111111111111" style="128" hidden="1" customWidth="1"/>
    <col min="45" max="45" width="10.2222222222222" style="128" hidden="1" customWidth="1"/>
    <col min="46" max="57" width="10.5555555555556" style="128" hidden="1" customWidth="1"/>
    <col min="58" max="58" width="10.2222222222222" style="128" hidden="1" customWidth="1"/>
    <col min="59" max="59" width="10.5555555555556" style="128" hidden="1" customWidth="1"/>
    <col min="60" max="60" width="11.3333333333333" style="128" hidden="1" customWidth="1"/>
    <col min="61" max="63" width="6.37777777777778" style="128" hidden="1" customWidth="1"/>
    <col min="64" max="64" width="6.37777777777778" style="131" hidden="1" customWidth="1"/>
    <col min="65" max="65" width="6.37777777777778" style="128" hidden="1" customWidth="1"/>
    <col min="66" max="66" width="9.25925925925926" style="128" hidden="1" customWidth="1"/>
    <col min="67" max="70" width="9.44444444444444" style="128" hidden="1" customWidth="1"/>
    <col min="71" max="71" width="10" style="128" customWidth="1"/>
    <col min="72" max="72" width="13.8888888888889" style="128" customWidth="1"/>
    <col min="73" max="76" width="13.8888888888889" style="128" hidden="1" customWidth="1"/>
    <col min="77" max="77" width="10.7777777777778" style="128" hidden="1" customWidth="1"/>
    <col min="78" max="78" width="7.66666666666667" style="128" hidden="1" customWidth="1"/>
    <col min="79" max="79" width="9.20740740740741" style="128" hidden="1" customWidth="1"/>
    <col min="80" max="80" width="11.7481481481481" style="128" hidden="1" customWidth="1"/>
    <col min="81" max="82" width="9.20740740740741" style="128" hidden="1" customWidth="1"/>
    <col min="83" max="83" width="12.2222222222222" style="128" hidden="1" customWidth="1"/>
    <col min="84" max="87" width="9.20740740740741" style="128" hidden="1" customWidth="1"/>
    <col min="88" max="88" width="9.20740740740741" style="132" hidden="1" customWidth="1"/>
    <col min="89" max="93" width="9.20740740740741" style="128" hidden="1" customWidth="1"/>
    <col min="94" max="94" width="17.9111111111111" style="128" hidden="1" customWidth="1"/>
    <col min="95" max="96" width="9.20740740740741" style="128" hidden="1" customWidth="1"/>
    <col min="97" max="97" width="14.4444444444444" style="128" hidden="1" customWidth="1"/>
    <col min="98" max="100" width="11.3333333333333" style="128" hidden="1" customWidth="1"/>
    <col min="101" max="103" width="11.3333333333333" style="128" customWidth="1"/>
    <col min="104" max="110" width="11.3333333333333" style="131" customWidth="1"/>
    <col min="111" max="114" width="11.3333333333333" style="128" customWidth="1"/>
    <col min="115" max="116" width="11.3333333333333" style="133" customWidth="1"/>
    <col min="117" max="117" width="11.3333333333333" style="128"/>
    <col min="118" max="119" width="11.3333333333333" style="128" customWidth="1"/>
    <col min="120" max="120" width="16.8888888888889" style="131" customWidth="1"/>
    <col min="121" max="124" width="11.3333333333333" style="134" customWidth="1"/>
    <col min="125" max="126" width="11.3333333333333" style="128" customWidth="1"/>
    <col min="127" max="130" width="13.1111111111111" style="128" customWidth="1"/>
    <col min="131" max="134" width="11.3333333333333" style="128" hidden="1" customWidth="1"/>
    <col min="135" max="135" width="11.3333333333333" style="128"/>
    <col min="136" max="136" width="15.9259259259259" style="132" customWidth="1"/>
    <col min="137" max="137" width="11.3333333333333" style="128"/>
    <col min="138" max="138" width="12" style="128"/>
    <col min="139" max="139" width="12.3333333333333" style="128"/>
    <col min="140" max="140" width="18.1111111111111" style="128"/>
    <col min="141" max="141" width="12" style="128"/>
    <col min="142" max="143" width="11.3333333333333" style="128"/>
    <col min="144" max="144" width="12.3333333333333" style="128"/>
    <col min="145" max="151" width="11.3333333333333" style="128"/>
    <col min="152" max="152" width="13.7777777777778" style="128"/>
    <col min="153" max="153" width="15.2222222222222" style="128"/>
    <col min="154" max="154" width="19.5555555555556" style="128"/>
    <col min="155" max="155" width="26.6666666666667" style="128"/>
    <col min="156" max="156" width="15.5555555555556" style="132"/>
    <col min="157" max="157" width="11.3333333333333" style="128"/>
    <col min="158" max="167" width="11.3333333333333" style="128" customWidth="1"/>
    <col min="168" max="172" width="11.3333333333333" style="128"/>
    <col min="173" max="173" width="15.2222222222222" style="128"/>
    <col min="174" max="16384" width="11.3333333333333" style="128"/>
  </cols>
  <sheetData>
    <row r="1" s="127" customFormat="1" ht="32.15" customHeight="1" spans="1:175">
      <c r="A1" s="135" t="s">
        <v>0</v>
      </c>
      <c r="B1" s="135"/>
      <c r="C1" s="136"/>
      <c r="D1" s="136"/>
      <c r="E1" s="136"/>
      <c r="F1" s="137" t="s">
        <v>1</v>
      </c>
      <c r="G1" s="138"/>
      <c r="H1" s="139"/>
      <c r="I1" s="139"/>
      <c r="J1" s="139"/>
      <c r="K1" s="139"/>
      <c r="L1" s="140"/>
      <c r="M1" s="137"/>
      <c r="N1" s="137"/>
      <c r="O1" s="141">
        <v>46056</v>
      </c>
      <c r="P1" s="142"/>
      <c r="Q1" s="143"/>
      <c r="R1" s="143"/>
      <c r="S1" s="141">
        <v>46046</v>
      </c>
      <c r="T1" s="141">
        <v>45921</v>
      </c>
      <c r="U1" s="135"/>
      <c r="V1" s="136"/>
      <c r="W1" s="136"/>
      <c r="X1" s="136"/>
      <c r="AF1" s="144" t="s">
        <v>2</v>
      </c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4"/>
      <c r="BD1" s="144"/>
      <c r="BE1" s="144"/>
      <c r="BF1" s="144"/>
      <c r="BG1" s="144"/>
      <c r="BH1" s="144"/>
      <c r="BI1" s="144"/>
      <c r="BJ1" s="145"/>
      <c r="BK1" s="145"/>
      <c r="BL1" s="145"/>
      <c r="BM1" s="145"/>
      <c r="BN1" s="145"/>
      <c r="BO1" s="145"/>
      <c r="BP1" s="145"/>
      <c r="BQ1" s="146"/>
      <c r="BR1" s="145"/>
      <c r="BS1" s="142"/>
      <c r="BT1" s="147" t="s">
        <v>3</v>
      </c>
      <c r="BU1" s="147"/>
      <c r="BV1" s="147"/>
      <c r="BW1" s="147"/>
      <c r="BX1" s="147"/>
      <c r="BY1" s="147"/>
      <c r="BZ1" s="147"/>
      <c r="CA1" s="147"/>
      <c r="CB1" s="147"/>
      <c r="CC1" s="147"/>
      <c r="CD1" s="147"/>
      <c r="CE1" s="147"/>
      <c r="CF1" s="147"/>
      <c r="CG1" s="147"/>
      <c r="CH1" s="147"/>
      <c r="CI1" s="147"/>
      <c r="CJ1" s="147"/>
      <c r="CK1" s="148"/>
      <c r="CL1" s="148"/>
      <c r="CM1" s="148"/>
      <c r="CN1" s="147"/>
      <c r="CO1" s="147"/>
      <c r="CP1" s="147"/>
      <c r="CQ1" s="147"/>
      <c r="CR1" s="147"/>
      <c r="CS1" s="147"/>
      <c r="CT1" s="147"/>
      <c r="CU1" s="147"/>
      <c r="CV1" s="147"/>
      <c r="CW1" s="147"/>
      <c r="CX1" s="148"/>
      <c r="CY1" s="149"/>
      <c r="CZ1" s="141">
        <v>46077</v>
      </c>
      <c r="DA1" s="141">
        <v>46072</v>
      </c>
      <c r="DB1" s="141">
        <v>46077</v>
      </c>
      <c r="DC1" s="136"/>
      <c r="DD1" s="136"/>
      <c r="DE1" s="136"/>
      <c r="DF1" s="136"/>
      <c r="DG1" s="147" t="s">
        <v>4</v>
      </c>
      <c r="DH1" s="147"/>
      <c r="DI1" s="147"/>
      <c r="DJ1" s="150"/>
      <c r="DK1" s="150"/>
      <c r="DL1" s="150"/>
      <c r="DM1" s="147"/>
      <c r="DN1" s="147"/>
      <c r="DO1" s="147"/>
      <c r="DP1" s="144"/>
      <c r="DQ1" s="147"/>
      <c r="DR1" s="147"/>
      <c r="DS1" s="147"/>
      <c r="DT1" s="147"/>
      <c r="DU1" s="151" t="s">
        <v>5</v>
      </c>
      <c r="DV1" s="151"/>
      <c r="DW1" s="152"/>
      <c r="DX1" s="152"/>
      <c r="DY1" s="152"/>
      <c r="DZ1" s="152"/>
      <c r="EA1" s="151"/>
      <c r="EB1" s="151"/>
      <c r="EC1" s="151"/>
      <c r="ED1" s="152"/>
      <c r="EE1" s="147" t="s">
        <v>6</v>
      </c>
      <c r="EF1" s="147"/>
      <c r="EG1" s="147"/>
      <c r="EH1" s="147"/>
      <c r="EI1" s="147">
        <v>2.61</v>
      </c>
      <c r="EJ1" s="153" t="s">
        <v>7</v>
      </c>
      <c r="EK1" s="154"/>
      <c r="EL1" s="155" t="s">
        <v>8</v>
      </c>
      <c r="EM1" s="155"/>
      <c r="EN1" s="155"/>
      <c r="EO1" s="155"/>
      <c r="EP1" s="155"/>
      <c r="EQ1" s="155"/>
      <c r="ER1" s="156" t="s">
        <v>9</v>
      </c>
      <c r="ES1" s="156"/>
      <c r="ET1" s="156"/>
      <c r="EU1" s="156"/>
      <c r="EV1" s="156"/>
      <c r="EW1" s="156"/>
      <c r="EX1" s="156"/>
      <c r="EY1" s="156"/>
      <c r="EZ1" s="157"/>
      <c r="FB1" s="152" t="s">
        <v>10</v>
      </c>
      <c r="FC1" s="152"/>
      <c r="FD1" s="152"/>
      <c r="FF1" s="142" t="s">
        <v>11</v>
      </c>
      <c r="FG1" s="142"/>
      <c r="FH1" s="142"/>
      <c r="FI1" s="142"/>
    </row>
    <row r="2" s="127" customFormat="1" ht="69" customHeight="1" spans="1:175">
      <c r="A2" s="135" t="s">
        <v>12</v>
      </c>
      <c r="B2" s="135" t="s">
        <v>13</v>
      </c>
      <c r="C2" s="136" t="s">
        <v>14</v>
      </c>
      <c r="D2" s="136" t="s">
        <v>15</v>
      </c>
      <c r="E2" s="136" t="s">
        <v>16</v>
      </c>
      <c r="F2" s="137" t="s">
        <v>17</v>
      </c>
      <c r="G2" s="138" t="s">
        <v>18</v>
      </c>
      <c r="H2" s="138" t="s">
        <v>19</v>
      </c>
      <c r="I2" s="158"/>
      <c r="J2" s="137" t="s">
        <v>20</v>
      </c>
      <c r="K2" s="137" t="s">
        <v>21</v>
      </c>
      <c r="L2" s="140" t="s">
        <v>22</v>
      </c>
      <c r="M2" s="137" t="s">
        <v>23</v>
      </c>
      <c r="N2" s="159" t="s">
        <v>24</v>
      </c>
      <c r="O2" s="151" t="s">
        <v>25</v>
      </c>
      <c r="P2" s="136" t="s">
        <v>26</v>
      </c>
      <c r="Q2" s="151" t="s">
        <v>27</v>
      </c>
      <c r="R2" s="136" t="s">
        <v>28</v>
      </c>
      <c r="S2" s="151" t="s">
        <v>29</v>
      </c>
      <c r="T2" s="151" t="s">
        <v>30</v>
      </c>
      <c r="U2" s="135" t="s">
        <v>31</v>
      </c>
      <c r="V2" s="136" t="s">
        <v>32</v>
      </c>
      <c r="W2" s="136" t="s">
        <v>33</v>
      </c>
      <c r="X2" s="136" t="s">
        <v>34</v>
      </c>
      <c r="AF2" s="160" t="s">
        <v>35</v>
      </c>
      <c r="AG2" s="161" t="s">
        <v>36</v>
      </c>
      <c r="AH2" s="162" t="s">
        <v>37</v>
      </c>
      <c r="AI2" s="162" t="s">
        <v>38</v>
      </c>
      <c r="AJ2" s="145" t="s">
        <v>39</v>
      </c>
      <c r="AK2" s="145" t="s">
        <v>40</v>
      </c>
      <c r="AL2" s="145" t="s">
        <v>41</v>
      </c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3"/>
      <c r="AX2" s="163"/>
      <c r="AY2" s="163"/>
      <c r="AZ2" s="163"/>
      <c r="BA2" s="163"/>
      <c r="BB2" s="163"/>
      <c r="BC2" s="163"/>
      <c r="BD2" s="163"/>
      <c r="BE2" s="163"/>
      <c r="BF2" s="163"/>
      <c r="BG2" s="163"/>
      <c r="BH2" s="163"/>
      <c r="BI2" s="163"/>
      <c r="BJ2" s="163"/>
      <c r="BK2" s="163"/>
      <c r="BL2" s="163"/>
      <c r="BM2" s="163"/>
      <c r="BN2" s="163"/>
      <c r="BO2" s="163"/>
      <c r="BP2" s="163"/>
      <c r="BQ2" s="163"/>
      <c r="BR2" s="163"/>
      <c r="BS2" s="136" t="s">
        <v>26</v>
      </c>
      <c r="BT2" s="164" t="s">
        <v>42</v>
      </c>
      <c r="BU2" s="165"/>
      <c r="BV2" s="165"/>
      <c r="BW2" s="165"/>
      <c r="BX2" s="165"/>
      <c r="BY2" s="165"/>
      <c r="BZ2" s="165"/>
      <c r="CA2" s="165"/>
      <c r="CB2" s="165"/>
      <c r="CC2" s="165"/>
      <c r="CD2" s="165"/>
      <c r="CE2" s="166"/>
      <c r="CF2" s="166"/>
      <c r="CG2" s="166"/>
      <c r="CH2" s="166"/>
      <c r="CI2" s="166"/>
      <c r="CJ2" s="167"/>
      <c r="CK2" s="167"/>
      <c r="CL2" s="167"/>
      <c r="CM2" s="167"/>
      <c r="CN2" s="167"/>
      <c r="CO2" s="167"/>
      <c r="CP2" s="167"/>
      <c r="CQ2" s="167"/>
      <c r="CR2" s="167"/>
      <c r="CS2" s="167"/>
      <c r="CT2" s="167"/>
      <c r="CU2" s="167"/>
      <c r="CV2" s="167"/>
      <c r="CW2" s="164" t="s">
        <v>43</v>
      </c>
      <c r="CX2" s="168" t="s">
        <v>44</v>
      </c>
      <c r="CY2" s="169" t="s">
        <v>45</v>
      </c>
      <c r="CZ2" s="170" t="s">
        <v>46</v>
      </c>
      <c r="DA2" s="170" t="s">
        <v>46</v>
      </c>
      <c r="DB2" s="170" t="s">
        <v>47</v>
      </c>
      <c r="DC2" s="136" t="s">
        <v>48</v>
      </c>
      <c r="DD2" s="136" t="s">
        <v>49</v>
      </c>
      <c r="DE2" s="136" t="s">
        <v>50</v>
      </c>
      <c r="DF2" s="136" t="s">
        <v>51</v>
      </c>
      <c r="DG2" s="147" t="s">
        <v>52</v>
      </c>
      <c r="DH2" s="147" t="s">
        <v>53</v>
      </c>
      <c r="DI2" s="147" t="s">
        <v>54</v>
      </c>
      <c r="DJ2" s="150" t="s">
        <v>55</v>
      </c>
      <c r="DK2" s="150" t="s">
        <v>56</v>
      </c>
      <c r="DL2" s="150" t="s">
        <v>57</v>
      </c>
      <c r="DM2" s="147" t="s">
        <v>58</v>
      </c>
      <c r="DN2" s="147" t="s">
        <v>59</v>
      </c>
      <c r="DO2" s="147" t="s">
        <v>60</v>
      </c>
      <c r="DP2" s="147" t="s">
        <v>61</v>
      </c>
      <c r="DQ2" s="147" t="s">
        <v>62</v>
      </c>
      <c r="DR2" s="147"/>
      <c r="DS2" s="147"/>
      <c r="DT2" s="147"/>
      <c r="DU2" s="171" t="s">
        <v>28</v>
      </c>
      <c r="DV2" s="151"/>
      <c r="DW2" s="172"/>
      <c r="DX2" s="172">
        <v>46078</v>
      </c>
      <c r="DY2" s="172">
        <v>46077</v>
      </c>
      <c r="DZ2" s="172" t="s">
        <v>63</v>
      </c>
      <c r="EA2" s="172">
        <v>46069</v>
      </c>
      <c r="EB2" s="172">
        <v>46067</v>
      </c>
      <c r="EC2" s="172">
        <v>46064</v>
      </c>
      <c r="ED2" s="173">
        <v>46057</v>
      </c>
      <c r="EE2" s="174" t="s">
        <v>64</v>
      </c>
      <c r="EF2" s="175" t="s">
        <v>65</v>
      </c>
      <c r="EG2" s="164" t="s">
        <v>66</v>
      </c>
      <c r="EH2" s="164" t="s">
        <v>67</v>
      </c>
      <c r="EI2" s="164" t="s">
        <v>68</v>
      </c>
      <c r="EJ2" s="136" t="s">
        <v>69</v>
      </c>
      <c r="EK2" s="176" t="s">
        <v>70</v>
      </c>
      <c r="EL2" s="151" t="s">
        <v>71</v>
      </c>
      <c r="EM2" s="151" t="s">
        <v>72</v>
      </c>
      <c r="EN2" s="151" t="s">
        <v>73</v>
      </c>
      <c r="EO2" s="151" t="s">
        <v>74</v>
      </c>
      <c r="EP2" s="151" t="s">
        <v>75</v>
      </c>
      <c r="EQ2" s="177" t="s">
        <v>76</v>
      </c>
      <c r="ER2" s="164" t="s">
        <v>77</v>
      </c>
      <c r="ES2" s="164" t="s">
        <v>78</v>
      </c>
      <c r="ET2" s="164" t="s">
        <v>79</v>
      </c>
      <c r="EU2" s="164" t="s">
        <v>80</v>
      </c>
      <c r="EV2" s="164" t="s">
        <v>81</v>
      </c>
      <c r="EW2" s="164" t="s">
        <v>82</v>
      </c>
      <c r="EX2" s="164" t="s">
        <v>83</v>
      </c>
      <c r="EY2" s="164"/>
      <c r="EZ2" s="157" t="s">
        <v>84</v>
      </c>
      <c r="FB2" s="152" t="s">
        <v>85</v>
      </c>
      <c r="FC2" s="152" t="s">
        <v>86</v>
      </c>
      <c r="FD2" s="152"/>
      <c r="FF2" s="178" t="s">
        <v>87</v>
      </c>
      <c r="FG2" s="178" t="s">
        <v>88</v>
      </c>
      <c r="FH2" s="178" t="s">
        <v>89</v>
      </c>
      <c r="FI2" s="178" t="s">
        <v>90</v>
      </c>
      <c r="FK2" s="142" t="s">
        <v>91</v>
      </c>
      <c r="FM2" s="179"/>
      <c r="FN2" s="179"/>
      <c r="FO2" s="179"/>
      <c r="FP2" s="179"/>
      <c r="FQ2" s="179"/>
    </row>
    <row r="3" customHeight="1" spans="1:175">
      <c r="B3" s="180" t="s">
        <v>92</v>
      </c>
      <c r="C3" s="138">
        <v>46</v>
      </c>
      <c r="D3" s="158">
        <v>138</v>
      </c>
      <c r="E3" s="181">
        <v>45887</v>
      </c>
      <c r="G3" s="158" t="s">
        <v>93</v>
      </c>
      <c r="H3" s="127" t="s">
        <v>94</v>
      </c>
      <c r="I3" s="182"/>
      <c r="J3" s="127" t="s">
        <v>95</v>
      </c>
      <c r="K3" s="183" t="s">
        <v>96</v>
      </c>
      <c r="L3" s="158">
        <v>4238699688</v>
      </c>
      <c r="M3" s="183" t="s">
        <v>97</v>
      </c>
      <c r="N3" s="131">
        <f>_xlfn.XLOOKUP(L3,数据更新表!J:J,数据更新表!K:K)</f>
        <v>100</v>
      </c>
      <c r="O3" s="131">
        <f>IFERROR(_xlfn.XLOOKUP(K3,数据更新表!A:A,数据更新表!B:B),"0")</f>
        <v>16</v>
      </c>
      <c r="P3" s="131">
        <f>_xlfn.XLOOKUP(K3,[1]库销表!$F:$F,[1]库销表!$L:$L)</f>
        <v>0</v>
      </c>
      <c r="Q3" s="184">
        <f t="shared" ref="Q3:Q66" si="0">X3/W3</f>
        <v>19.6</v>
      </c>
      <c r="S3" s="128" t="e">
        <f>_xlfn.XLOOKUP(K3,数据更新表!R:R,数据更新表!S:S)</f>
        <v>#N/A</v>
      </c>
      <c r="T3" s="128" t="e">
        <f>_xlfn.XLOOKUP(K3,数据更新表!V:V,数据更新表!W:W)</f>
        <v>#N/A</v>
      </c>
      <c r="V3" s="185">
        <f t="shared" ref="V3:V66" si="1">IFERROR(7*O3/CZ3,"0")</f>
        <v>5.6</v>
      </c>
      <c r="W3" s="158">
        <f t="shared" ref="W3:W66" si="2">CZ3/7</f>
        <v>2.85714285714286</v>
      </c>
      <c r="X3" s="158">
        <f>O3+P3+SUM(AH3:BQ3)</f>
        <v>56</v>
      </c>
      <c r="AF3" s="128">
        <f t="shared" ref="AF3:AF27" si="3">SUM(AG3:BQ3)</f>
        <v>100</v>
      </c>
      <c r="AG3" s="128">
        <v>60</v>
      </c>
      <c r="AH3" s="128">
        <v>40</v>
      </c>
      <c r="AL3" s="131"/>
      <c r="BK3" s="131"/>
      <c r="BS3" s="131">
        <f>_xlfn.XLOOKUP(K3,[1]库销表!$F:$F,[1]库销表!$L:$L)</f>
        <v>0</v>
      </c>
      <c r="BT3" s="131">
        <f t="shared" ref="BT3:BT66" si="4">SUM(BU3:CV3)</f>
        <v>0</v>
      </c>
      <c r="CW3" s="131">
        <f>_xlfn.XLOOKUP(K3,[1]库销表!$F:$F,[1]库销表!$IE:$IE)</f>
        <v>0</v>
      </c>
      <c r="CX3" s="131">
        <f>_xlfn.XLOOKUP(K3,[1]库销表!$F:$F,[1]库销表!$IF:$IF)</f>
        <v>0</v>
      </c>
      <c r="CY3" s="186">
        <f>_xlfn.XLOOKUP(K3,[1]库销表!$F:$F,[1]库销表!$FL:$FL)</f>
        <v>0</v>
      </c>
      <c r="CZ3" s="131">
        <f>_xlfn.XLOOKUP(K3,数据更新表!E:E,数据更新表!F:F,0)</f>
        <v>20</v>
      </c>
      <c r="DA3" s="131">
        <v>1</v>
      </c>
      <c r="DB3" s="131">
        <f>_xlfn.XLOOKUP(K3,数据更新表!E:E,数据更新表!G:G)</f>
        <v>1</v>
      </c>
      <c r="DC3" s="187">
        <f>_xlfn.XLOOKUP(L3,数据更新表!Z:Z,数据更新表!AH:AH)</f>
        <v>8</v>
      </c>
      <c r="DD3" s="131">
        <f>_xlfn.XLOOKUP(L3,数据更新表!Z:Z,数据更新表!AE:AE)</f>
        <v>12</v>
      </c>
      <c r="DE3" s="131">
        <f>_xlfn.XLOOKUP(L3,数据更新表!Z:Z,数据更新表!AF:AF)</f>
        <v>12</v>
      </c>
      <c r="DF3" s="131" t="e">
        <f>_xlfn.XLOOKUP(K3,数据更新表!Z:Z,数据更新表!AG:AG)</f>
        <v>#N/A</v>
      </c>
      <c r="DG3" s="128">
        <f>_xlfn.XLOOKUP(L3,数据更新表!Z:Z,数据更新表!AD:AD)</f>
        <v>642.72</v>
      </c>
      <c r="DH3" s="128">
        <f>_xlfn.XLOOKUP(L3,数据更新表!Z:Z,数据更新表!AA:AA)</f>
        <v>9008</v>
      </c>
      <c r="DI3" s="128">
        <f>_xlfn.XLOOKUP(L3,数据更新表!Z:Z,数据更新表!AB:AB)</f>
        <v>119</v>
      </c>
      <c r="DJ3" s="128" t="str">
        <f>_xlfn.XLOOKUP(L3,数据更新表!Z:Z,数据更新表!AC:AC)</f>
        <v>3.20%</v>
      </c>
      <c r="DK3" s="133" t="str">
        <f>_xlfn.XLOOKUP(L3,数据更新表!Z:Z,数据更新表!AI:AI)</f>
        <v>1.93%</v>
      </c>
      <c r="DL3" s="133" t="str">
        <f>_xlfn.XLOOKUP(L3,数据更新表!AL:AL,数据更新表!AM:AM)</f>
        <v>1.97%</v>
      </c>
      <c r="DM3" s="131">
        <f>_xlfn.XLOOKUP(L3,数据更新表!Z:Z,数据更新表!AJ:AJ)</f>
        <v>31.25</v>
      </c>
      <c r="DN3" s="187">
        <v>20</v>
      </c>
      <c r="DO3" s="188" t="s">
        <v>98</v>
      </c>
      <c r="DP3" s="188" t="s">
        <v>99</v>
      </c>
      <c r="DQ3" s="134">
        <v>46052</v>
      </c>
      <c r="DU3" s="189" t="s">
        <v>100</v>
      </c>
      <c r="DV3" s="189"/>
      <c r="DW3" s="189"/>
      <c r="DX3" s="189"/>
      <c r="DY3" s="189"/>
      <c r="DZ3" s="189" t="s">
        <v>101</v>
      </c>
      <c r="EE3" s="158">
        <v>1699</v>
      </c>
      <c r="EF3" s="190">
        <f>EE3/0.7</f>
        <v>2427.14285714286</v>
      </c>
      <c r="EG3" s="158">
        <v>120</v>
      </c>
      <c r="EH3" s="191">
        <f t="shared" ref="EH3:EH58" si="5">EJ3/(EI3+EL3)</f>
        <v>0.574677746486371</v>
      </c>
      <c r="EI3" s="158">
        <f t="shared" ref="EI3:EI58" si="6">EG3*$EI$1</f>
        <v>313.2</v>
      </c>
      <c r="EJ3" s="190">
        <f t="shared" ref="EJ3:EJ66" si="7">EE3-EI3-EL3-EO3-EN3-EP3-EQ3</f>
        <v>356.493552</v>
      </c>
      <c r="EK3" s="191">
        <f t="shared" ref="EK3:EK58" si="8">EJ3/EE3</f>
        <v>0.209825516185992</v>
      </c>
      <c r="EL3" s="192">
        <f t="shared" ref="EL3:EL9" si="9">EX3*2500*$EI$1</f>
        <v>307.136448</v>
      </c>
      <c r="EM3" s="185" t="str">
        <f t="shared" ref="EM3:EM58" si="10">IF(EE3&gt;299,"是","否")</f>
        <v>是</v>
      </c>
      <c r="EN3" s="158">
        <f t="shared" ref="EN3:EN58" si="11">EE3*0.05</f>
        <v>84.95</v>
      </c>
      <c r="EO3" s="190">
        <f t="shared" ref="EO3:EO66" si="12">EE3*0.175</f>
        <v>297.325</v>
      </c>
      <c r="EP3" s="182">
        <f>IF(EE3&lt;299,IF(EE3&lt;99,25,IF(EE3&lt;=149,30,IF(EE3&lt;=299,37,85))),IF(EE3&lt;=498,_xlfn.XLOOKUP(EW3,运费表!A:A,运费表!C:C,"重量超限",-1),_xlfn.XLOOKUP(EW3,运费表!A:A,运费表!D:D,"重量超限",-1)))</f>
        <v>161.5</v>
      </c>
      <c r="EQ3" s="182">
        <f t="shared" ref="EQ3:EQ66" si="13">EE3*0.105</f>
        <v>178.395</v>
      </c>
      <c r="ER3" s="158">
        <f>_xlfn.XLOOKUP(K3,[4]目录表!$H:$H,[4]目录表!$X:$X)</f>
        <v>7</v>
      </c>
      <c r="ES3" s="158">
        <f>_xlfn.XLOOKUP(K3,[4]目录表!$H:$H,[4]目录表!$Y:$Y)</f>
        <v>82</v>
      </c>
      <c r="ET3" s="158">
        <f>_xlfn.XLOOKUP(K3,[4]目录表!$H:$H,[4]目录表!$Z:$Z)</f>
        <v>44</v>
      </c>
      <c r="EU3" s="158">
        <f>_xlfn.XLOOKUP(K3,[4]目录表!$H:$H,[4]目录表!$AA:$AA)</f>
        <v>14</v>
      </c>
      <c r="EV3" s="190">
        <f t="shared" ref="EV3:EV10" si="14">ES3*ET3*EU3/5000</f>
        <v>10.1024</v>
      </c>
      <c r="EW3" s="158">
        <f t="shared" ref="EW3:EW66" si="15">IF(EV3&gt;=ER3,EV3,ER3)</f>
        <v>10.1024</v>
      </c>
      <c r="EX3" s="193">
        <f>_xlfn.XLOOKUP(K3,[2]目录表!$H:$H,[2]目录表!$AB:$AB)</f>
        <v>0.04707072</v>
      </c>
      <c r="EY3" s="158"/>
      <c r="EZ3" s="194">
        <f>CZ3/7</f>
        <v>2.85714285714286</v>
      </c>
      <c r="FA3" s="184"/>
      <c r="FK3" s="128" t="str">
        <f>_xlfn.XLOOKUP(K3,[2]目录表!$H:$H,[2]目录表!$AJ:$AJ)</f>
        <v>装柜</v>
      </c>
      <c r="FS3" s="189"/>
    </row>
    <row r="4" customHeight="1" spans="1:175">
      <c r="B4" s="180" t="s">
        <v>102</v>
      </c>
      <c r="C4" s="138">
        <v>27</v>
      </c>
      <c r="D4" s="158">
        <v>42</v>
      </c>
      <c r="E4" s="181">
        <v>45887</v>
      </c>
      <c r="G4" s="158" t="s">
        <v>93</v>
      </c>
      <c r="H4" s="127" t="s">
        <v>103</v>
      </c>
      <c r="I4" s="182"/>
      <c r="J4" s="127" t="s">
        <v>104</v>
      </c>
      <c r="K4" s="183" t="s">
        <v>105</v>
      </c>
      <c r="L4" s="185">
        <v>4238574572</v>
      </c>
      <c r="M4" s="183" t="s">
        <v>97</v>
      </c>
      <c r="N4" s="131">
        <f>_xlfn.XLOOKUP(L4,数据更新表!J:J,数据更新表!K:K)</f>
        <v>100</v>
      </c>
      <c r="O4" s="131">
        <f>IFERROR(_xlfn.XLOOKUP(K4,数据更新表!A:A,数据更新表!B:B),"0")</f>
        <v>8</v>
      </c>
      <c r="P4" s="131">
        <f>_xlfn.XLOOKUP(K4,[1]库销表!$F:$F,[1]库销表!$L:$L)</f>
        <v>0</v>
      </c>
      <c r="Q4" s="184">
        <f t="shared" si="0"/>
        <v>10.8387096774194</v>
      </c>
      <c r="S4" s="128" t="e">
        <f>_xlfn.XLOOKUP(K4,数据更新表!R:R,数据更新表!S:S)</f>
        <v>#N/A</v>
      </c>
      <c r="T4" s="128" t="e">
        <f>_xlfn.XLOOKUP(K4,数据更新表!V:V,数据更新表!W:W)</f>
        <v>#N/A</v>
      </c>
      <c r="V4" s="185">
        <f t="shared" si="1"/>
        <v>1.80645161290323</v>
      </c>
      <c r="W4" s="158">
        <f t="shared" si="2"/>
        <v>4.42857142857143</v>
      </c>
      <c r="X4" s="158">
        <f>O4+P4+SUM(AH4:BQ4)</f>
        <v>48</v>
      </c>
      <c r="AF4" s="128">
        <f t="shared" si="3"/>
        <v>100</v>
      </c>
      <c r="AG4" s="128">
        <v>60</v>
      </c>
      <c r="AH4" s="128">
        <v>40</v>
      </c>
      <c r="AL4" s="131"/>
      <c r="BK4" s="131"/>
      <c r="BS4" s="131">
        <f>_xlfn.XLOOKUP(K4,[1]库销表!$F:$F,[1]库销表!$L:$L)</f>
        <v>0</v>
      </c>
      <c r="BT4" s="131">
        <f t="shared" si="4"/>
        <v>0</v>
      </c>
      <c r="CW4" s="131">
        <f>_xlfn.XLOOKUP(K4,[1]库销表!$F:$F,[1]库销表!$IE:$IE)</f>
        <v>0</v>
      </c>
      <c r="CX4" s="131">
        <f>_xlfn.XLOOKUP(K4,[1]库销表!$F:$F,[1]库销表!$IF:$IF)</f>
        <v>0</v>
      </c>
      <c r="CY4" s="186">
        <f>_xlfn.XLOOKUP(K4,[1]库销表!$F:$F,[1]库销表!$FL:$FL)</f>
        <v>0</v>
      </c>
      <c r="CZ4" s="131">
        <f>_xlfn.XLOOKUP(K4,数据更新表!E:E,数据更新表!F:F,0)</f>
        <v>31</v>
      </c>
      <c r="DA4" s="131">
        <v>1</v>
      </c>
      <c r="DB4" s="131">
        <f>_xlfn.XLOOKUP(K4,数据更新表!E:E,数据更新表!G:G)</f>
        <v>3</v>
      </c>
      <c r="DC4" s="187">
        <f>_xlfn.XLOOKUP(L4,数据更新表!Z:Z,数据更新表!AH:AH)</f>
        <v>10</v>
      </c>
      <c r="DD4" s="131">
        <f>_xlfn.XLOOKUP(L4,数据更新表!Z:Z,数据更新表!AE:AE)</f>
        <v>21</v>
      </c>
      <c r="DE4" s="131">
        <f>_xlfn.XLOOKUP(L4,数据更新表!Z:Z,数据更新表!AF:AF)</f>
        <v>20</v>
      </c>
      <c r="DF4" s="131" t="e">
        <f>_xlfn.XLOOKUP(K4,数据更新表!Z:Z,数据更新表!AG:AG)</f>
        <v>#N/A</v>
      </c>
      <c r="DG4" s="128">
        <f>_xlfn.XLOOKUP(L4,数据更新表!Z:Z,数据更新表!AD:AD)</f>
        <v>702.95</v>
      </c>
      <c r="DH4" s="128">
        <f>_xlfn.XLOOKUP(L4,数据更新表!Z:Z,数据更新表!AA:AA)</f>
        <v>10833</v>
      </c>
      <c r="DI4" s="128">
        <f>_xlfn.XLOOKUP(L4,数据更新表!Z:Z,数据更新表!AB:AB)</f>
        <v>132</v>
      </c>
      <c r="DJ4" s="128" t="str">
        <f>_xlfn.XLOOKUP(L4,数据更新表!Z:Z,数据更新表!AC:AC)</f>
        <v>2.28%</v>
      </c>
      <c r="DK4" s="133" t="str">
        <f>_xlfn.XLOOKUP(L4,数据更新表!Z:Z,数据更新表!AI:AI)</f>
        <v>1.53%</v>
      </c>
      <c r="DL4" s="133" t="str">
        <f>_xlfn.XLOOKUP(L4,数据更新表!AL:AL,数据更新表!AM:AM)</f>
        <v>1.56%</v>
      </c>
      <c r="DM4" s="131">
        <f>_xlfn.XLOOKUP(L4,数据更新表!Z:Z,数据更新表!AJ:AJ)</f>
        <v>43.78</v>
      </c>
      <c r="DN4" s="187">
        <v>20</v>
      </c>
      <c r="DO4" s="188" t="s">
        <v>98</v>
      </c>
      <c r="DP4" s="188" t="s">
        <v>99</v>
      </c>
      <c r="DQ4" s="134">
        <v>46052</v>
      </c>
      <c r="DU4" s="189" t="s">
        <v>100</v>
      </c>
      <c r="DV4" s="189"/>
      <c r="DW4" s="189"/>
      <c r="DX4" s="189"/>
      <c r="DY4" s="189"/>
      <c r="DZ4" s="189" t="s">
        <v>106</v>
      </c>
      <c r="EE4" s="158">
        <v>1558</v>
      </c>
      <c r="EF4" s="190">
        <f>EE4/0.7</f>
        <v>2225.71428571429</v>
      </c>
      <c r="EG4" s="158">
        <v>105</v>
      </c>
      <c r="EH4" s="191">
        <f t="shared" si="5"/>
        <v>0.287501423819516</v>
      </c>
      <c r="EI4" s="158">
        <f t="shared" si="6"/>
        <v>274.05</v>
      </c>
      <c r="EJ4" s="190">
        <f t="shared" si="7"/>
        <v>190.6685004</v>
      </c>
      <c r="EK4" s="191">
        <f t="shared" si="8"/>
        <v>0.12238029550706</v>
      </c>
      <c r="EL4" s="192">
        <f t="shared" si="9"/>
        <v>389.1414996</v>
      </c>
      <c r="EM4" s="185" t="str">
        <f t="shared" si="10"/>
        <v>是</v>
      </c>
      <c r="EN4" s="158">
        <f t="shared" si="11"/>
        <v>77.9</v>
      </c>
      <c r="EO4" s="190">
        <f t="shared" si="12"/>
        <v>272.65</v>
      </c>
      <c r="EP4" s="182">
        <f>IF(EE4&lt;299,IF(EE4&lt;99,25,IF(EE4&lt;=149,30,IF(EE4&lt;=299,37,85))),IF(EE4&lt;=498,_xlfn.XLOOKUP(EW4,运费表!A:A,运费表!C:C,"重量超限",-1),_xlfn.XLOOKUP(EW4,运费表!A:A,运费表!D:D,"重量超限",-1)))</f>
        <v>190</v>
      </c>
      <c r="EQ4" s="182">
        <f t="shared" si="13"/>
        <v>163.59</v>
      </c>
      <c r="ER4" s="158">
        <f>_xlfn.XLOOKUP(K4,[4]目录表!$H:$H,[4]目录表!$X:$X)</f>
        <v>6.4</v>
      </c>
      <c r="ES4" s="158">
        <f>_xlfn.XLOOKUP(K4,[4]目录表!$H:$H,[4]目录表!$Y:$Y)</f>
        <v>80</v>
      </c>
      <c r="ET4" s="158">
        <f>_xlfn.XLOOKUP(K4,[4]目录表!$H:$H,[4]目录表!$Z:$Z)</f>
        <v>43</v>
      </c>
      <c r="EU4" s="158">
        <f>_xlfn.XLOOKUP(K4,[4]目录表!$H:$H,[4]目录表!$AA:$AA)</f>
        <v>19</v>
      </c>
      <c r="EV4" s="190">
        <f t="shared" si="14"/>
        <v>13.072</v>
      </c>
      <c r="EW4" s="158">
        <f t="shared" si="15"/>
        <v>13.072</v>
      </c>
      <c r="EX4" s="193">
        <f>_xlfn.XLOOKUP(K4,[2]目录表!$H:$H,[2]目录表!$AB:$AB)</f>
        <v>0.059638544</v>
      </c>
      <c r="EY4" s="158"/>
      <c r="EZ4" s="194">
        <f t="shared" ref="EZ4:EZ35" si="16">CZ4/7</f>
        <v>4.42857142857143</v>
      </c>
      <c r="FA4" s="184"/>
      <c r="FK4" s="128" t="str">
        <f>_xlfn.XLOOKUP(K4,[2]目录表!$H:$H,[2]目录表!$AJ:$AJ)</f>
        <v>装柜</v>
      </c>
    </row>
    <row r="5" customHeight="1" spans="1:175">
      <c r="B5" s="180" t="s">
        <v>107</v>
      </c>
      <c r="C5" s="138">
        <v>7</v>
      </c>
      <c r="D5" s="158">
        <v>37</v>
      </c>
      <c r="E5" s="181">
        <v>45889</v>
      </c>
      <c r="G5" s="158" t="s">
        <v>108</v>
      </c>
      <c r="H5" s="127" t="s">
        <v>108</v>
      </c>
      <c r="I5" s="182"/>
      <c r="J5" s="127" t="s">
        <v>109</v>
      </c>
      <c r="K5" s="183" t="s">
        <v>110</v>
      </c>
      <c r="L5" s="185">
        <v>2515489727</v>
      </c>
      <c r="M5" s="183" t="s">
        <v>97</v>
      </c>
      <c r="N5" s="131">
        <f>_xlfn.XLOOKUP(L5,数据更新表!J:J,数据更新表!K:K)</f>
        <v>100</v>
      </c>
      <c r="O5" s="131">
        <f>IFERROR(_xlfn.XLOOKUP(K5,数据更新表!A:A,数据更新表!B:B),"0")</f>
        <v>37</v>
      </c>
      <c r="P5" s="131">
        <f>_xlfn.XLOOKUP(K5,[1]库销表!$F:$F,[1]库销表!$L:$L)</f>
        <v>60</v>
      </c>
      <c r="Q5" s="184">
        <f t="shared" si="0"/>
        <v>479.5</v>
      </c>
      <c r="S5" s="128" t="e">
        <f>_xlfn.XLOOKUP(K5,数据更新表!R:R,数据更新表!S:S)</f>
        <v>#N/A</v>
      </c>
      <c r="T5" s="128" t="e">
        <f>_xlfn.XLOOKUP(K5,数据更新表!V:V,数据更新表!W:W)</f>
        <v>#N/A</v>
      </c>
      <c r="V5" s="185">
        <f t="shared" si="1"/>
        <v>129.5</v>
      </c>
      <c r="W5" s="158">
        <f t="shared" si="2"/>
        <v>0.285714285714286</v>
      </c>
      <c r="X5" s="158">
        <f>O5+P5+SUM(AH5:BQ5)</f>
        <v>137</v>
      </c>
      <c r="AF5" s="128">
        <f t="shared" si="3"/>
        <v>40</v>
      </c>
      <c r="AH5" s="128">
        <v>40</v>
      </c>
      <c r="AL5" s="131"/>
      <c r="BK5" s="131"/>
      <c r="BS5" s="131">
        <f>_xlfn.XLOOKUP(K5,[1]库销表!$F:$F,[1]库销表!$L:$L)</f>
        <v>60</v>
      </c>
      <c r="BT5" s="131">
        <f t="shared" si="4"/>
        <v>0</v>
      </c>
      <c r="CW5" s="131">
        <f>_xlfn.XLOOKUP(K5,[1]库销表!$F:$F,[1]库销表!$IE:$IE)</f>
        <v>0</v>
      </c>
      <c r="CX5" s="131">
        <f>_xlfn.XLOOKUP(K5,[1]库销表!$F:$F,[1]库销表!$IF:$IF)</f>
        <v>0</v>
      </c>
      <c r="CY5" s="186">
        <f>_xlfn.XLOOKUP(K5,[1]库销表!$F:$F,[1]库销表!$FL:$FL)</f>
        <v>0</v>
      </c>
      <c r="CZ5" s="131">
        <f>_xlfn.XLOOKUP(K5,数据更新表!E:E,数据更新表!F:F,0)</f>
        <v>2</v>
      </c>
      <c r="DA5" s="131">
        <v>0</v>
      </c>
      <c r="DB5" s="131">
        <f>_xlfn.XLOOKUP(K5,数据更新表!E:E,数据更新表!G:G)</f>
        <v>1</v>
      </c>
      <c r="DC5" s="187">
        <f>_xlfn.XLOOKUP(L5,数据更新表!Z:Z,数据更新表!AH:AH)</f>
        <v>2</v>
      </c>
      <c r="DD5" s="131">
        <f>_xlfn.XLOOKUP(L5,数据更新表!Z:Z,数据更新表!AE:AE)</f>
        <v>0</v>
      </c>
      <c r="DE5" s="131">
        <f>_xlfn.XLOOKUP(L5,数据更新表!Z:Z,数据更新表!AF:AF)</f>
        <v>0</v>
      </c>
      <c r="DF5" s="131" t="e">
        <f>_xlfn.XLOOKUP(K5,数据更新表!Z:Z,数据更新表!AG:AG)</f>
        <v>#N/A</v>
      </c>
      <c r="DG5" s="128">
        <f>_xlfn.XLOOKUP(L5,数据更新表!Z:Z,数据更新表!AD:AD)</f>
        <v>346.04</v>
      </c>
      <c r="DH5" s="128">
        <f>_xlfn.XLOOKUP(L5,数据更新表!Z:Z,数据更新表!AA:AA)</f>
        <v>5564</v>
      </c>
      <c r="DI5" s="128">
        <f>_xlfn.XLOOKUP(L5,数据更新表!Z:Z,数据更新表!AB:AB)</f>
        <v>41</v>
      </c>
      <c r="DJ5" s="128" t="str">
        <f>_xlfn.XLOOKUP(L5,数据更新表!Z:Z,数据更新表!AC:AC)</f>
        <v>0.00%</v>
      </c>
      <c r="DK5" s="133" t="str">
        <f>_xlfn.XLOOKUP(L5,数据更新表!Z:Z,数据更新表!AI:AI)</f>
        <v>7.15%</v>
      </c>
      <c r="DL5" s="133" t="str">
        <f>_xlfn.XLOOKUP(L5,数据更新表!AL:AL,数据更新表!AM:AM)</f>
        <v>7.15%</v>
      </c>
      <c r="DM5" s="131">
        <f>_xlfn.XLOOKUP(L5,数据更新表!Z:Z,数据更新表!AJ:AJ)</f>
        <v>0</v>
      </c>
      <c r="DN5" s="187">
        <v>20</v>
      </c>
      <c r="DO5" s="188" t="s">
        <v>111</v>
      </c>
      <c r="DP5" s="188" t="s">
        <v>99</v>
      </c>
      <c r="DW5" s="189"/>
      <c r="DX5" s="189" t="s">
        <v>112</v>
      </c>
      <c r="DY5" s="189"/>
      <c r="DZ5" s="189"/>
      <c r="EE5" s="158">
        <v>2398</v>
      </c>
      <c r="EF5" s="190">
        <f>EE5/0.7</f>
        <v>3425.71428571429</v>
      </c>
      <c r="EG5" s="158">
        <v>180</v>
      </c>
      <c r="EH5" s="191">
        <f t="shared" si="5"/>
        <v>0.309282928906926</v>
      </c>
      <c r="EI5" s="158">
        <f t="shared" si="6"/>
        <v>469.8</v>
      </c>
      <c r="EJ5" s="190">
        <f t="shared" si="7"/>
        <v>326.970626</v>
      </c>
      <c r="EK5" s="191">
        <f t="shared" si="8"/>
        <v>0.136351386989158</v>
      </c>
      <c r="EL5" s="192">
        <f t="shared" si="9"/>
        <v>587.389374</v>
      </c>
      <c r="EM5" s="185" t="str">
        <f t="shared" si="10"/>
        <v>是</v>
      </c>
      <c r="EN5" s="158">
        <f t="shared" si="11"/>
        <v>119.9</v>
      </c>
      <c r="EO5" s="190">
        <f t="shared" si="12"/>
        <v>419.65</v>
      </c>
      <c r="EP5" s="182">
        <f>IF(EE5&lt;299,IF(EE5&lt;99,25,IF(EE5&lt;=149,30,IF(EE5&lt;=299,37,85))),IF(EE5&lt;=498,_xlfn.XLOOKUP(EW5,运费表!A:A,运费表!C:C,"重量超限",-1),_xlfn.XLOOKUP(EW5,运费表!A:A,运费表!D:D,"重量超限",-1)))</f>
        <v>222.5</v>
      </c>
      <c r="EQ5" s="182">
        <f t="shared" si="13"/>
        <v>251.79</v>
      </c>
      <c r="ER5" s="158">
        <f>_xlfn.XLOOKUP(K5,[4]目录表!$H:$H,[4]目录表!$X:$X)</f>
        <v>8.4</v>
      </c>
      <c r="ES5" s="158">
        <f>_xlfn.XLOOKUP(K5,[4]目录表!$H:$H,[4]目录表!$Y:$Y)</f>
        <v>59</v>
      </c>
      <c r="ET5" s="158">
        <f>_xlfn.XLOOKUP(K5,[4]目录表!$H:$H,[4]目录表!$Z:$Z)</f>
        <v>43</v>
      </c>
      <c r="EU5" s="158">
        <f>_xlfn.XLOOKUP(K5,[4]目录表!$H:$H,[4]目录表!$AA:$AA)</f>
        <v>38</v>
      </c>
      <c r="EV5" s="190">
        <f t="shared" si="14"/>
        <v>19.2812</v>
      </c>
      <c r="EW5" s="158">
        <f t="shared" si="15"/>
        <v>19.2812</v>
      </c>
      <c r="EX5" s="193">
        <f>_xlfn.XLOOKUP(K5,[2]目录表!$H:$H,[2]目录表!$AB:$AB)</f>
        <v>0.09002136</v>
      </c>
      <c r="EY5" s="158"/>
      <c r="EZ5" s="194">
        <f t="shared" si="16"/>
        <v>0.285714285714286</v>
      </c>
      <c r="FA5" s="184"/>
      <c r="FK5" s="128" t="str">
        <f>_xlfn.XLOOKUP(K5,[2]目录表!$H:$H,[2]目录表!$AJ:$AJ)</f>
        <v>装柜</v>
      </c>
    </row>
    <row r="6" customHeight="1" spans="1:175">
      <c r="B6" s="180" t="s">
        <v>113</v>
      </c>
      <c r="C6" s="138">
        <v>16</v>
      </c>
      <c r="D6" s="158">
        <v>18</v>
      </c>
      <c r="E6" s="181">
        <v>45889</v>
      </c>
      <c r="G6" s="158" t="s">
        <v>114</v>
      </c>
      <c r="H6" s="127" t="s">
        <v>115</v>
      </c>
      <c r="I6" s="182"/>
      <c r="J6" s="127" t="s">
        <v>116</v>
      </c>
      <c r="K6" s="183" t="s">
        <v>117</v>
      </c>
      <c r="L6" s="185">
        <v>2515701467</v>
      </c>
      <c r="M6" s="183" t="s">
        <v>97</v>
      </c>
      <c r="N6" s="131">
        <f>_xlfn.XLOOKUP(L6,数据更新表!J:J,数据更新表!K:K)</f>
        <v>65</v>
      </c>
      <c r="O6" s="131">
        <f>IFERROR(_xlfn.XLOOKUP(K6,数据更新表!A:A,数据更新表!B:B),"0")</f>
        <v>36</v>
      </c>
      <c r="P6" s="131">
        <f>_xlfn.XLOOKUP(K6,[1]库销表!$F:$F,[1]库销表!$L:$L)</f>
        <v>60</v>
      </c>
      <c r="Q6" s="184">
        <f t="shared" si="0"/>
        <v>238</v>
      </c>
      <c r="S6" s="128" t="e">
        <f>_xlfn.XLOOKUP(K6,数据更新表!R:R,数据更新表!S:S)</f>
        <v>#N/A</v>
      </c>
      <c r="T6" s="128" t="e">
        <f>_xlfn.XLOOKUP(K6,数据更新表!V:V,数据更新表!W:W)</f>
        <v>#N/A</v>
      </c>
      <c r="V6" s="185">
        <f t="shared" si="1"/>
        <v>63</v>
      </c>
      <c r="W6" s="158">
        <f t="shared" si="2"/>
        <v>0.571428571428571</v>
      </c>
      <c r="X6" s="158">
        <f>O6+P6+SUM(AH6:BQ6)</f>
        <v>136</v>
      </c>
      <c r="AF6" s="128">
        <f t="shared" si="3"/>
        <v>40</v>
      </c>
      <c r="AH6" s="128">
        <v>40</v>
      </c>
      <c r="AL6" s="131"/>
      <c r="BK6" s="131"/>
      <c r="BS6" s="131">
        <f>_xlfn.XLOOKUP(K6,[1]库销表!$F:$F,[1]库销表!$L:$L)</f>
        <v>60</v>
      </c>
      <c r="BT6" s="131">
        <f t="shared" si="4"/>
        <v>0</v>
      </c>
      <c r="CW6" s="131">
        <f>_xlfn.XLOOKUP(K6,[1]库销表!$F:$F,[1]库销表!$IE:$IE)</f>
        <v>0</v>
      </c>
      <c r="CX6" s="131">
        <f>_xlfn.XLOOKUP(K6,[1]库销表!$F:$F,[1]库销表!$IF:$IF)</f>
        <v>0</v>
      </c>
      <c r="CY6" s="186">
        <f>_xlfn.XLOOKUP(K6,[1]库销表!$F:$F,[1]库销表!$FL:$FL)</f>
        <v>0</v>
      </c>
      <c r="CZ6" s="131">
        <f>_xlfn.XLOOKUP(K6,数据更新表!E:E,数据更新表!F:F,0)</f>
        <v>4</v>
      </c>
      <c r="DA6" s="131">
        <v>0</v>
      </c>
      <c r="DB6" s="131">
        <f>_xlfn.XLOOKUP(K6,数据更新表!E:E,数据更新表!G:G)</f>
        <v>0</v>
      </c>
      <c r="DC6" s="187">
        <f>_xlfn.XLOOKUP(L6,数据更新表!Z:Z,数据更新表!AH:AH)</f>
        <v>0</v>
      </c>
      <c r="DD6" s="131">
        <f>_xlfn.XLOOKUP(L6,数据更新表!Z:Z,数据更新表!AE:AE)</f>
        <v>4</v>
      </c>
      <c r="DE6" s="131">
        <f>_xlfn.XLOOKUP(L6,数据更新表!Z:Z,数据更新表!AF:AF)</f>
        <v>3</v>
      </c>
      <c r="DF6" s="131" t="e">
        <f>_xlfn.XLOOKUP(K6,数据更新表!Z:Z,数据更新表!AG:AG)</f>
        <v>#N/A</v>
      </c>
      <c r="DG6" s="128">
        <f>_xlfn.XLOOKUP(L6,数据更新表!Z:Z,数据更新表!AD:AD)</f>
        <v>314.46</v>
      </c>
      <c r="DH6" s="128">
        <f>_xlfn.XLOOKUP(L6,数据更新表!Z:Z,数据更新表!AA:AA)</f>
        <v>5804</v>
      </c>
      <c r="DI6" s="128">
        <f>_xlfn.XLOOKUP(L6,数据更新表!Z:Z,数据更新表!AB:AB)</f>
        <v>53</v>
      </c>
      <c r="DJ6" s="128" t="str">
        <f>_xlfn.XLOOKUP(L6,数据更新表!Z:Z,数据更新表!AC:AC)</f>
        <v>6.93%</v>
      </c>
      <c r="DK6" s="133" t="str">
        <f>_xlfn.XLOOKUP(L6,数据更新表!Z:Z,数据更新表!AI:AI)</f>
        <v>7.65%</v>
      </c>
      <c r="DL6" s="133" t="str">
        <f>_xlfn.XLOOKUP(L6,数据更新表!AL:AL,数据更新表!AM:AM)</f>
        <v>7.65%</v>
      </c>
      <c r="DM6" s="131">
        <f>_xlfn.XLOOKUP(L6,数据更新表!Z:Z,数据更新表!AJ:AJ)</f>
        <v>14.44</v>
      </c>
      <c r="DN6" s="187">
        <v>20</v>
      </c>
      <c r="DO6" s="188" t="s">
        <v>111</v>
      </c>
      <c r="DP6" s="188" t="s">
        <v>99</v>
      </c>
      <c r="DW6" s="189"/>
      <c r="DX6" s="189"/>
      <c r="DY6" s="189"/>
      <c r="DZ6" s="189"/>
      <c r="EE6" s="158">
        <v>1090</v>
      </c>
      <c r="EF6" s="158">
        <f>_xlfn.XLOOKUP(L6,数据更新表!J:J,数据更新表!M:M)</f>
        <v>1369.4</v>
      </c>
      <c r="EG6" s="158">
        <v>78</v>
      </c>
      <c r="EH6" s="191">
        <f t="shared" si="5"/>
        <v>0.186626142082131</v>
      </c>
      <c r="EI6" s="158">
        <f t="shared" si="6"/>
        <v>203.58</v>
      </c>
      <c r="EJ6" s="190">
        <f t="shared" si="7"/>
        <v>89.4577878</v>
      </c>
      <c r="EK6" s="191">
        <f t="shared" si="8"/>
        <v>0.0820713649541285</v>
      </c>
      <c r="EL6" s="192">
        <f t="shared" si="9"/>
        <v>275.7622122</v>
      </c>
      <c r="EM6" s="185" t="str">
        <f t="shared" si="10"/>
        <v>是</v>
      </c>
      <c r="EN6" s="158">
        <f t="shared" si="11"/>
        <v>54.5</v>
      </c>
      <c r="EO6" s="190">
        <f t="shared" si="12"/>
        <v>190.75</v>
      </c>
      <c r="EP6" s="182">
        <f>IF(EE6&lt;299,IF(EE6&lt;99,25,IF(EE6&lt;=149,30,IF(EE6&lt;=299,37,85))),IF(EE6&lt;=498,_xlfn.XLOOKUP(EW6,运费表!A:A,运费表!C:C,"重量超限",-1),_xlfn.XLOOKUP(EW6,运费表!A:A,运费表!D:D,"重量超限",-1)))</f>
        <v>161.5</v>
      </c>
      <c r="EQ6" s="182">
        <f t="shared" si="13"/>
        <v>114.45</v>
      </c>
      <c r="ER6" s="158">
        <f>_xlfn.XLOOKUP(K6,[4]目录表!$H:$H,[4]目录表!$X:$X)</f>
        <v>4.2</v>
      </c>
      <c r="ES6" s="158">
        <f>_xlfn.XLOOKUP(K6,[4]目录表!$H:$H,[4]目录表!$Y:$Y)</f>
        <v>81</v>
      </c>
      <c r="ET6" s="158">
        <f>_xlfn.XLOOKUP(K6,[4]目录表!$H:$H,[4]目录表!$Z:$Z)</f>
        <v>46</v>
      </c>
      <c r="EU6" s="158">
        <f>_xlfn.XLOOKUP(K6,[4]目录表!$H:$H,[4]目录表!$AA:$AA)</f>
        <v>13</v>
      </c>
      <c r="EV6" s="190">
        <f t="shared" si="14"/>
        <v>9.6876</v>
      </c>
      <c r="EW6" s="158">
        <f t="shared" si="15"/>
        <v>9.6876</v>
      </c>
      <c r="EX6" s="193">
        <f>_xlfn.XLOOKUP(K6,[2]目录表!$H:$H,[2]目录表!$AB:$AB)</f>
        <v>0.042262408</v>
      </c>
      <c r="EY6" s="158"/>
      <c r="EZ6" s="194">
        <f t="shared" si="16"/>
        <v>0.571428571428571</v>
      </c>
      <c r="FA6" s="184"/>
      <c r="FK6" s="128" t="str">
        <f>_xlfn.XLOOKUP(K6,[2]目录表!$H:$H,[2]目录表!$AJ:$AJ)</f>
        <v>装柜</v>
      </c>
    </row>
    <row r="7" customHeight="1" spans="1:175">
      <c r="B7" s="195" t="s">
        <v>118</v>
      </c>
      <c r="C7" s="138">
        <v>75</v>
      </c>
      <c r="D7" s="158">
        <v>341</v>
      </c>
      <c r="E7" s="181">
        <v>45889</v>
      </c>
      <c r="G7" s="158" t="s">
        <v>119</v>
      </c>
      <c r="H7" s="127" t="s">
        <v>120</v>
      </c>
      <c r="I7" s="182"/>
      <c r="J7" s="127" t="s">
        <v>121</v>
      </c>
      <c r="K7" s="183" t="s">
        <v>122</v>
      </c>
      <c r="L7" s="185">
        <v>4238819076</v>
      </c>
      <c r="M7" s="183" t="s">
        <v>97</v>
      </c>
      <c r="N7" s="131">
        <f>_xlfn.XLOOKUP(L7,数据更新表!J:J,数据更新表!K:K)</f>
        <v>100</v>
      </c>
      <c r="O7" s="131">
        <f>IFERROR(_xlfn.XLOOKUP(K7,数据更新表!A:A,数据更新表!B:B),"0")</f>
        <v>10</v>
      </c>
      <c r="P7" s="131">
        <f>_xlfn.XLOOKUP(K7,[1]库销表!$F:$F,[1]库销表!$L:$L)</f>
        <v>0</v>
      </c>
      <c r="Q7" s="184">
        <f t="shared" si="0"/>
        <v>35</v>
      </c>
      <c r="S7" s="128" t="e">
        <f>_xlfn.XLOOKUP(K7,数据更新表!R:R,数据更新表!S:S)</f>
        <v>#N/A</v>
      </c>
      <c r="T7" s="128" t="e">
        <f>_xlfn.XLOOKUP(K7,数据更新表!V:V,数据更新表!W:W)</f>
        <v>#N/A</v>
      </c>
      <c r="V7" s="185">
        <f t="shared" si="1"/>
        <v>35</v>
      </c>
      <c r="W7" s="158">
        <f t="shared" si="2"/>
        <v>0.285714285714286</v>
      </c>
      <c r="X7" s="158">
        <f t="shared" ref="X4:X35" si="17">O7+P7+SUM(BN7:BR7)</f>
        <v>10</v>
      </c>
      <c r="AF7" s="128">
        <f t="shared" si="3"/>
        <v>0</v>
      </c>
      <c r="AL7" s="131"/>
      <c r="BK7" s="131"/>
      <c r="BS7" s="131">
        <f>_xlfn.XLOOKUP(K7,[1]库销表!$F:$F,[1]库销表!$L:$L)</f>
        <v>0</v>
      </c>
      <c r="BT7" s="131">
        <f t="shared" si="4"/>
        <v>0</v>
      </c>
      <c r="CW7" s="131">
        <f>_xlfn.XLOOKUP(K7,[1]库销表!$F:$F,[1]库销表!$IE:$IE)</f>
        <v>0</v>
      </c>
      <c r="CX7" s="131">
        <f>_xlfn.XLOOKUP(K7,[1]库销表!$F:$F,[1]库销表!$IF:$IF)</f>
        <v>0</v>
      </c>
      <c r="CY7" s="186">
        <f>_xlfn.XLOOKUP(K7,[1]库销表!$F:$F,[1]库销表!$FL:$FL)</f>
        <v>0</v>
      </c>
      <c r="CZ7" s="131">
        <f>_xlfn.XLOOKUP(K7,数据更新表!E:E,数据更新表!F:F,0)</f>
        <v>2</v>
      </c>
      <c r="DA7" s="131">
        <v>4</v>
      </c>
      <c r="DB7" s="131">
        <f>_xlfn.XLOOKUP(K7,数据更新表!E:E,数据更新表!G:G)</f>
        <v>0</v>
      </c>
      <c r="DC7" s="187">
        <f>_xlfn.XLOOKUP(L7,数据更新表!Z:Z,数据更新表!AH:AH)</f>
        <v>2</v>
      </c>
      <c r="DD7" s="131">
        <f>_xlfn.XLOOKUP(L7,数据更新表!Z:Z,数据更新表!AE:AE)</f>
        <v>0</v>
      </c>
      <c r="DE7" s="131">
        <f>_xlfn.XLOOKUP(L7,数据更新表!Z:Z,数据更新表!AF:AF)</f>
        <v>0</v>
      </c>
      <c r="DF7" s="131" t="e">
        <f>_xlfn.XLOOKUP(K7,数据更新表!Z:Z,数据更新表!AG:AG)</f>
        <v>#N/A</v>
      </c>
      <c r="DG7" s="128">
        <f>_xlfn.XLOOKUP(L7,数据更新表!Z:Z,数据更新表!AD:AD)</f>
        <v>28.89</v>
      </c>
      <c r="DH7" s="128">
        <f>_xlfn.XLOOKUP(L7,数据更新表!Z:Z,数据更新表!AA:AA)</f>
        <v>30981</v>
      </c>
      <c r="DI7" s="128">
        <f>_xlfn.XLOOKUP(L7,数据更新表!Z:Z,数据更新表!AB:AB)</f>
        <v>13</v>
      </c>
      <c r="DJ7" s="128" t="str">
        <f>_xlfn.XLOOKUP(L7,数据更新表!Z:Z,数据更新表!AC:AC)</f>
        <v>0.00%</v>
      </c>
      <c r="DK7" s="133" t="str">
        <f>_xlfn.XLOOKUP(L7,数据更新表!Z:Z,数据更新表!AI:AI)</f>
        <v>2.08%</v>
      </c>
      <c r="DL7" s="133" t="str">
        <f>_xlfn.XLOOKUP(L7,数据更新表!AL:AL,数据更新表!AM:AM)</f>
        <v>3.91%</v>
      </c>
      <c r="DM7" s="131">
        <f>_xlfn.XLOOKUP(L7,数据更新表!Z:Z,数据更新表!AJ:AJ)</f>
        <v>0</v>
      </c>
      <c r="DN7" s="187">
        <v>20</v>
      </c>
      <c r="DO7" s="188" t="s">
        <v>111</v>
      </c>
      <c r="DP7" s="196" t="s">
        <v>123</v>
      </c>
      <c r="DQ7" s="134">
        <v>46074</v>
      </c>
      <c r="DU7" s="197" t="s">
        <v>124</v>
      </c>
      <c r="DV7" s="197"/>
      <c r="DW7" s="189"/>
      <c r="DX7" s="189"/>
      <c r="DY7" s="189"/>
      <c r="DZ7" s="189"/>
      <c r="EA7" s="197"/>
      <c r="EB7" s="197"/>
      <c r="EE7" s="158">
        <v>696</v>
      </c>
      <c r="EF7" s="190">
        <f>EE7/0.7</f>
        <v>994.285714285714</v>
      </c>
      <c r="EG7" s="158">
        <v>34.5</v>
      </c>
      <c r="EH7" s="191">
        <f t="shared" si="5"/>
        <v>-0.00863162801374692</v>
      </c>
      <c r="EI7" s="158">
        <f t="shared" si="6"/>
        <v>90.045</v>
      </c>
      <c r="EJ7" s="190">
        <f t="shared" si="7"/>
        <v>-2.84555039999994</v>
      </c>
      <c r="EK7" s="191">
        <f t="shared" si="8"/>
        <v>-0.00408843448275853</v>
      </c>
      <c r="EL7" s="192">
        <f t="shared" si="9"/>
        <v>239.6205504</v>
      </c>
      <c r="EM7" s="185" t="str">
        <f t="shared" si="10"/>
        <v>是</v>
      </c>
      <c r="EN7" s="158">
        <f t="shared" si="11"/>
        <v>34.8</v>
      </c>
      <c r="EO7" s="190">
        <f t="shared" si="12"/>
        <v>121.8</v>
      </c>
      <c r="EP7" s="182">
        <f>IF(EE7&lt;299,IF(EE7&lt;99,25,IF(EE7&lt;=149,30,IF(EE7&lt;=299,37,85))),IF(EE7&lt;=498,_xlfn.XLOOKUP(EW7,运费表!A:A,运费表!C:C,"重量超限",-1),_xlfn.XLOOKUP(EW7,运费表!A:A,运费表!D:D,"重量超限",-1)))</f>
        <v>139.5</v>
      </c>
      <c r="EQ7" s="182">
        <f t="shared" si="13"/>
        <v>73.08</v>
      </c>
      <c r="ER7" s="158">
        <f>_xlfn.XLOOKUP(K7,[4]目录表!$H:$H,[4]目录表!$X:$X)</f>
        <v>3</v>
      </c>
      <c r="ES7" s="158">
        <f>_xlfn.XLOOKUP(K7,[4]目录表!$H:$H,[4]目录表!$Y:$Y)</f>
        <v>75.6</v>
      </c>
      <c r="ET7" s="158">
        <f>_xlfn.XLOOKUP(K7,[4]目录表!$H:$H,[4]目录表!$Z:$Z)</f>
        <v>55.2</v>
      </c>
      <c r="EU7" s="158">
        <f>_xlfn.XLOOKUP(K7,[4]目录表!$H:$H,[4]目录表!$AA:$AA)</f>
        <v>8.8</v>
      </c>
      <c r="EV7" s="190">
        <f t="shared" si="14"/>
        <v>7.3446912</v>
      </c>
      <c r="EW7" s="158">
        <f t="shared" si="15"/>
        <v>7.3446912</v>
      </c>
      <c r="EX7" s="193">
        <f>_xlfn.XLOOKUP(K7,[2]目录表!$H:$H,[2]目录表!$AB:$AB)</f>
        <v>0.036723456</v>
      </c>
      <c r="EY7" s="158"/>
      <c r="EZ7" s="194">
        <f t="shared" si="16"/>
        <v>0.285714285714286</v>
      </c>
      <c r="FA7" s="184"/>
      <c r="FK7" s="128" t="str">
        <f>_xlfn.XLOOKUP(K7,[2]目录表!$H:$H,[2]目录表!$AJ:$AJ)</f>
        <v>装柜</v>
      </c>
    </row>
    <row r="8" customHeight="1" spans="1:175">
      <c r="B8" s="195" t="s">
        <v>125</v>
      </c>
      <c r="C8" s="138">
        <v>26</v>
      </c>
      <c r="D8" s="158">
        <v>202</v>
      </c>
      <c r="E8" s="181">
        <v>45889</v>
      </c>
      <c r="G8" s="158" t="s">
        <v>119</v>
      </c>
      <c r="H8" s="127" t="s">
        <v>126</v>
      </c>
      <c r="I8" s="182"/>
      <c r="J8" s="127" t="s">
        <v>127</v>
      </c>
      <c r="K8" s="183" t="s">
        <v>128</v>
      </c>
      <c r="L8" s="185">
        <v>4239173046</v>
      </c>
      <c r="M8" s="183" t="s">
        <v>97</v>
      </c>
      <c r="N8" s="131" t="e">
        <f>_xlfn.XLOOKUP(L8,数据更新表!J:J,数据更新表!K:K)</f>
        <v>#N/A</v>
      </c>
      <c r="O8" s="131">
        <f>IFERROR(_xlfn.XLOOKUP(K8,数据更新表!A:A,数据更新表!B:B),"0")</f>
        <v>0</v>
      </c>
      <c r="P8" s="131">
        <f>_xlfn.XLOOKUP(K8,[1]库销表!$F:$F,[1]库销表!$L:$L)</f>
        <v>0</v>
      </c>
      <c r="Q8" s="184" t="e">
        <f t="shared" si="0"/>
        <v>#DIV/0!</v>
      </c>
      <c r="S8" s="128">
        <f>_xlfn.XLOOKUP(K8,数据更新表!R:R,数据更新表!S:S)</f>
        <v>12</v>
      </c>
      <c r="T8" s="128" t="e">
        <f>_xlfn.XLOOKUP(K8,数据更新表!V:V,数据更新表!W:W)</f>
        <v>#N/A</v>
      </c>
      <c r="V8" s="185" t="str">
        <f t="shared" si="1"/>
        <v>0</v>
      </c>
      <c r="W8" s="158">
        <f t="shared" si="2"/>
        <v>0</v>
      </c>
      <c r="X8" s="158">
        <f t="shared" si="17"/>
        <v>0</v>
      </c>
      <c r="AF8" s="128">
        <f t="shared" si="3"/>
        <v>0</v>
      </c>
      <c r="AL8" s="131"/>
      <c r="BK8" s="131"/>
      <c r="BS8" s="131">
        <f>_xlfn.XLOOKUP(K8,[1]库销表!$F:$F,[1]库销表!$L:$L)</f>
        <v>0</v>
      </c>
      <c r="BT8" s="131">
        <f t="shared" si="4"/>
        <v>0</v>
      </c>
      <c r="CW8" s="131">
        <f>_xlfn.XLOOKUP(K8,[1]库销表!$F:$F,[1]库销表!$IE:$IE)</f>
        <v>0</v>
      </c>
      <c r="CX8" s="131">
        <f>_xlfn.XLOOKUP(K8,[1]库销表!$F:$F,[1]库销表!$IF:$IF)</f>
        <v>0</v>
      </c>
      <c r="CY8" s="186">
        <f>_xlfn.XLOOKUP(K8,[1]库销表!$F:$F,[1]库销表!$FL:$FL)</f>
        <v>0</v>
      </c>
      <c r="CZ8" s="131">
        <f>_xlfn.XLOOKUP(K8,数据更新表!E:E,数据更新表!F:F,0)</f>
        <v>0</v>
      </c>
      <c r="DA8" s="131">
        <v>0</v>
      </c>
      <c r="DB8" s="131" t="e">
        <f>_xlfn.XLOOKUP(K8,数据更新表!E:E,数据更新表!G:G)</f>
        <v>#N/A</v>
      </c>
      <c r="DC8" s="187" t="e">
        <f>_xlfn.XLOOKUP(L8,数据更新表!Z:Z,数据更新表!AH:AH)</f>
        <v>#N/A</v>
      </c>
      <c r="DD8" s="131" t="e">
        <f>_xlfn.XLOOKUP(L8,数据更新表!Z:Z,数据更新表!AE:AE)</f>
        <v>#N/A</v>
      </c>
      <c r="DE8" s="131" t="e">
        <f>_xlfn.XLOOKUP(L8,数据更新表!Z:Z,数据更新表!AF:AF)</f>
        <v>#N/A</v>
      </c>
      <c r="DF8" s="131" t="e">
        <f>_xlfn.XLOOKUP(K8,数据更新表!Z:Z,数据更新表!AG:AG)</f>
        <v>#N/A</v>
      </c>
      <c r="DG8" s="128" t="e">
        <f>_xlfn.XLOOKUP(L8,数据更新表!Z:Z,数据更新表!AD:AD)</f>
        <v>#N/A</v>
      </c>
      <c r="DH8" s="128" t="e">
        <f>_xlfn.XLOOKUP(L8,数据更新表!Z:Z,数据更新表!AA:AA)</f>
        <v>#N/A</v>
      </c>
      <c r="DI8" s="128" t="e">
        <f>_xlfn.XLOOKUP(L8,数据更新表!Z:Z,数据更新表!AB:AB)</f>
        <v>#N/A</v>
      </c>
      <c r="DJ8" s="128" t="e">
        <f>_xlfn.XLOOKUP(L8,数据更新表!Z:Z,数据更新表!AC:AC)</f>
        <v>#N/A</v>
      </c>
      <c r="DK8" s="133" t="e">
        <f>_xlfn.XLOOKUP(L8,数据更新表!Z:Z,数据更新表!AI:AI)</f>
        <v>#N/A</v>
      </c>
      <c r="DL8" s="133" t="str">
        <f>_xlfn.XLOOKUP(L8,数据更新表!AL:AL,数据更新表!AM:AM)</f>
        <v>11.79%</v>
      </c>
      <c r="DM8" s="131" t="e">
        <f>_xlfn.XLOOKUP(L8,数据更新表!Z:Z,数据更新表!AJ:AJ)</f>
        <v>#N/A</v>
      </c>
      <c r="DN8" s="187">
        <v>10</v>
      </c>
      <c r="DO8" s="188" t="s">
        <v>129</v>
      </c>
      <c r="DP8" s="196" t="s">
        <v>130</v>
      </c>
      <c r="DQ8" s="134">
        <v>46074</v>
      </c>
      <c r="DU8" s="198"/>
      <c r="DV8" s="198"/>
      <c r="DW8" s="189"/>
      <c r="DX8" s="189"/>
      <c r="DY8" s="189"/>
      <c r="DZ8" s="189"/>
      <c r="EE8" s="158" t="e">
        <f>_xlfn.XLOOKUP(L8,数据更新表!J:J,数据更新表!L:L)</f>
        <v>#N/A</v>
      </c>
      <c r="EF8" s="158" t="e">
        <f>_xlfn.XLOOKUP(L8,数据更新表!J:J,数据更新表!M:M)</f>
        <v>#N/A</v>
      </c>
      <c r="EG8" s="158">
        <v>30.5</v>
      </c>
      <c r="EH8" s="191" t="e">
        <f t="shared" si="5"/>
        <v>#N/A</v>
      </c>
      <c r="EI8" s="158">
        <f t="shared" si="6"/>
        <v>79.605</v>
      </c>
      <c r="EJ8" s="190" t="e">
        <f t="shared" si="7"/>
        <v>#N/A</v>
      </c>
      <c r="EK8" s="191" t="e">
        <f t="shared" si="8"/>
        <v>#N/A</v>
      </c>
      <c r="EL8" s="192">
        <f t="shared" si="9"/>
        <v>222.67476</v>
      </c>
      <c r="EM8" s="185" t="e">
        <f t="shared" si="10"/>
        <v>#N/A</v>
      </c>
      <c r="EN8" s="158" t="e">
        <f t="shared" si="11"/>
        <v>#N/A</v>
      </c>
      <c r="EO8" s="190" t="e">
        <f t="shared" si="12"/>
        <v>#N/A</v>
      </c>
      <c r="EP8" s="182" t="e">
        <f>IF(EE8&lt;299,IF(EE8&lt;99,25,IF(EE8&lt;=149,30,IF(EE8&lt;=299,37,85))),IF(EE8&lt;=498,_xlfn.XLOOKUP(EW8,运费表!A:A,运费表!C:C,"重量超限",-1),_xlfn.XLOOKUP(EW8,运费表!A:A,运费表!D:D,"重量超限",-1)))</f>
        <v>#N/A</v>
      </c>
      <c r="EQ8" s="182" t="e">
        <f t="shared" si="13"/>
        <v>#N/A</v>
      </c>
      <c r="ER8" s="158">
        <f>_xlfn.XLOOKUP(K8,[4]目录表!$H:$H,[4]目录表!$X:$X)</f>
        <v>2.8</v>
      </c>
      <c r="ES8" s="158">
        <f>_xlfn.XLOOKUP(K8,[4]目录表!$H:$H,[4]目录表!$Y:$Y)</f>
        <v>77</v>
      </c>
      <c r="ET8" s="158">
        <f>_xlfn.XLOOKUP(K8,[4]目录表!$H:$H,[4]目录表!$Z:$Z)</f>
        <v>55.4</v>
      </c>
      <c r="EU8" s="158">
        <f>_xlfn.XLOOKUP(K8,[4]目录表!$H:$H,[4]目录表!$AA:$AA)</f>
        <v>8</v>
      </c>
      <c r="EV8" s="190">
        <f t="shared" si="14"/>
        <v>6.82528</v>
      </c>
      <c r="EW8" s="158">
        <f t="shared" si="15"/>
        <v>6.82528</v>
      </c>
      <c r="EX8" s="193">
        <f>_xlfn.XLOOKUP(K8,[2]目录表!$H:$H,[2]目录表!$AB:$AB)</f>
        <v>0.0341264</v>
      </c>
      <c r="EY8" s="158"/>
      <c r="EZ8" s="194">
        <f t="shared" si="16"/>
        <v>0</v>
      </c>
      <c r="FA8" s="184"/>
      <c r="FK8" s="128" t="str">
        <f>_xlfn.XLOOKUP(K8,[2]目录表!$H:$H,[2]目录表!$AJ:$AJ)</f>
        <v>装柜</v>
      </c>
    </row>
    <row r="9" customHeight="1" spans="1:175">
      <c r="B9" s="195" t="s">
        <v>131</v>
      </c>
      <c r="C9" s="138">
        <v>51</v>
      </c>
      <c r="D9" s="158">
        <v>275</v>
      </c>
      <c r="E9" s="181">
        <v>45889</v>
      </c>
      <c r="G9" s="158" t="s">
        <v>119</v>
      </c>
      <c r="H9" s="127" t="s">
        <v>132</v>
      </c>
      <c r="I9" s="182"/>
      <c r="J9" s="127" t="s">
        <v>133</v>
      </c>
      <c r="K9" s="183" t="s">
        <v>134</v>
      </c>
      <c r="L9" s="185">
        <v>4239812144</v>
      </c>
      <c r="M9" s="183" t="s">
        <v>97</v>
      </c>
      <c r="N9" s="131" t="e">
        <f>_xlfn.XLOOKUP(L9,数据更新表!J:J,数据更新表!K:K)</f>
        <v>#N/A</v>
      </c>
      <c r="O9" s="131">
        <f>IFERROR(_xlfn.XLOOKUP(K9,数据更新表!A:A,数据更新表!B:B),"0")</f>
        <v>0</v>
      </c>
      <c r="P9" s="131">
        <f>_xlfn.XLOOKUP(K9,[1]库销表!$F:$F,[1]库销表!$L:$L)</f>
        <v>0</v>
      </c>
      <c r="Q9" s="184" t="e">
        <f t="shared" si="0"/>
        <v>#DIV/0!</v>
      </c>
      <c r="S9" s="128" t="e">
        <f>_xlfn.XLOOKUP(K9,数据更新表!R:R,数据更新表!S:S)</f>
        <v>#N/A</v>
      </c>
      <c r="T9" s="128" t="e">
        <f>_xlfn.XLOOKUP(K9,数据更新表!V:V,数据更新表!W:W)</f>
        <v>#N/A</v>
      </c>
      <c r="V9" s="185" t="str">
        <f t="shared" si="1"/>
        <v>0</v>
      </c>
      <c r="W9" s="158">
        <f t="shared" si="2"/>
        <v>0</v>
      </c>
      <c r="X9" s="158">
        <f t="shared" si="17"/>
        <v>0</v>
      </c>
      <c r="AF9" s="128">
        <f t="shared" si="3"/>
        <v>0</v>
      </c>
      <c r="AL9" s="131"/>
      <c r="BK9" s="131"/>
      <c r="BS9" s="131">
        <f>_xlfn.XLOOKUP(K9,[1]库销表!$F:$F,[1]库销表!$L:$L)</f>
        <v>0</v>
      </c>
      <c r="BT9" s="131">
        <f t="shared" si="4"/>
        <v>0</v>
      </c>
      <c r="CW9" s="131">
        <f>_xlfn.XLOOKUP(K9,[1]库销表!$F:$F,[1]库销表!$IE:$IE)</f>
        <v>0</v>
      </c>
      <c r="CX9" s="131">
        <f>_xlfn.XLOOKUP(K9,[1]库销表!$F:$F,[1]库销表!$IF:$IF)</f>
        <v>0</v>
      </c>
      <c r="CY9" s="186">
        <f>_xlfn.XLOOKUP(K9,[1]库销表!$F:$F,[1]库销表!$FL:$FL)</f>
        <v>0</v>
      </c>
      <c r="CZ9" s="131">
        <f>_xlfn.XLOOKUP(K9,数据更新表!E:E,数据更新表!F:F,0)</f>
        <v>0</v>
      </c>
      <c r="DA9" s="131">
        <v>0</v>
      </c>
      <c r="DB9" s="131" t="e">
        <f>_xlfn.XLOOKUP(K9,数据更新表!E:E,数据更新表!G:G)</f>
        <v>#N/A</v>
      </c>
      <c r="DC9" s="187" t="e">
        <f>_xlfn.XLOOKUP(L9,数据更新表!Z:Z,数据更新表!AH:AH)</f>
        <v>#N/A</v>
      </c>
      <c r="DD9" s="131" t="e">
        <f>_xlfn.XLOOKUP(L9,数据更新表!Z:Z,数据更新表!AE:AE)</f>
        <v>#N/A</v>
      </c>
      <c r="DE9" s="131" t="e">
        <f>_xlfn.XLOOKUP(L9,数据更新表!Z:Z,数据更新表!AF:AF)</f>
        <v>#N/A</v>
      </c>
      <c r="DF9" s="131" t="e">
        <f>_xlfn.XLOOKUP(K9,数据更新表!Z:Z,数据更新表!AG:AG)</f>
        <v>#N/A</v>
      </c>
      <c r="DG9" s="128" t="e">
        <f>_xlfn.XLOOKUP(L9,数据更新表!Z:Z,数据更新表!AD:AD)</f>
        <v>#N/A</v>
      </c>
      <c r="DH9" s="128" t="e">
        <f>_xlfn.XLOOKUP(L9,数据更新表!Z:Z,数据更新表!AA:AA)</f>
        <v>#N/A</v>
      </c>
      <c r="DI9" s="128" t="e">
        <f>_xlfn.XLOOKUP(L9,数据更新表!Z:Z,数据更新表!AB:AB)</f>
        <v>#N/A</v>
      </c>
      <c r="DJ9" s="128" t="e">
        <f>_xlfn.XLOOKUP(L9,数据更新表!Z:Z,数据更新表!AC:AC)</f>
        <v>#N/A</v>
      </c>
      <c r="DK9" s="133" t="e">
        <f>_xlfn.XLOOKUP(L9,数据更新表!Z:Z,数据更新表!AI:AI)</f>
        <v>#N/A</v>
      </c>
      <c r="DL9" s="133" t="str">
        <f>_xlfn.XLOOKUP(L9,数据更新表!AL:AL,数据更新表!AM:AM)</f>
        <v>7.90%</v>
      </c>
      <c r="DM9" s="131" t="e">
        <f>_xlfn.XLOOKUP(L9,数据更新表!Z:Z,数据更新表!AJ:AJ)</f>
        <v>#N/A</v>
      </c>
      <c r="DN9" s="187">
        <v>10</v>
      </c>
      <c r="DO9" s="188" t="s">
        <v>129</v>
      </c>
      <c r="DP9" s="199" t="s">
        <v>135</v>
      </c>
      <c r="DQ9" s="134">
        <v>46074</v>
      </c>
      <c r="DU9" s="197" t="s">
        <v>136</v>
      </c>
      <c r="DV9" s="197"/>
      <c r="DW9" s="189"/>
      <c r="DX9" s="189"/>
      <c r="DY9" s="189"/>
      <c r="DZ9" s="189"/>
      <c r="EE9" s="158" t="e">
        <f>_xlfn.XLOOKUP(L9,数据更新表!J:J,数据更新表!L:L)</f>
        <v>#N/A</v>
      </c>
      <c r="EF9" s="158" t="e">
        <f>_xlfn.XLOOKUP(L9,数据更新表!J:J,数据更新表!M:M)</f>
        <v>#N/A</v>
      </c>
      <c r="EG9" s="158">
        <v>51.5</v>
      </c>
      <c r="EH9" s="191" t="e">
        <f t="shared" si="5"/>
        <v>#N/A</v>
      </c>
      <c r="EI9" s="158">
        <f t="shared" si="6"/>
        <v>134.415</v>
      </c>
      <c r="EJ9" s="190" t="e">
        <f t="shared" si="7"/>
        <v>#N/A</v>
      </c>
      <c r="EK9" s="191" t="e">
        <f t="shared" si="8"/>
        <v>#N/A</v>
      </c>
      <c r="EL9" s="192">
        <f t="shared" si="9"/>
        <v>266.318136</v>
      </c>
      <c r="EM9" s="185" t="e">
        <f t="shared" si="10"/>
        <v>#N/A</v>
      </c>
      <c r="EN9" s="158" t="e">
        <f t="shared" si="11"/>
        <v>#N/A</v>
      </c>
      <c r="EO9" s="190" t="e">
        <f t="shared" si="12"/>
        <v>#N/A</v>
      </c>
      <c r="EP9" s="182" t="e">
        <f>IF(EE9&lt;299,IF(EE9&lt;99,25,IF(EE9&lt;=149,30,IF(EE9&lt;=299,37,85))),IF(EE9&lt;=498,_xlfn.XLOOKUP(EW9,运费表!A:A,运费表!C:C,"重量超限",-1),_xlfn.XLOOKUP(EW9,运费表!A:A,运费表!D:D,"重量超限",-1)))</f>
        <v>#N/A</v>
      </c>
      <c r="EQ9" s="182" t="e">
        <f t="shared" si="13"/>
        <v>#N/A</v>
      </c>
      <c r="ER9" s="158">
        <f>_xlfn.XLOOKUP(K9,[4]目录表!$H:$H,[4]目录表!$X:$X)</f>
        <v>4.4</v>
      </c>
      <c r="ES9" s="158">
        <f>_xlfn.XLOOKUP(K9,[4]目录表!$H:$H,[4]目录表!$Y:$Y)</f>
        <v>76</v>
      </c>
      <c r="ET9" s="158">
        <f>_xlfn.XLOOKUP(K9,[4]目录表!$H:$H,[4]目录表!$Z:$Z)</f>
        <v>54.8</v>
      </c>
      <c r="EU9" s="158">
        <f>_xlfn.XLOOKUP(K9,[4]目录表!$H:$H,[4]目录表!$AA:$AA)</f>
        <v>9.8</v>
      </c>
      <c r="EV9" s="190">
        <f t="shared" si="14"/>
        <v>8.163008</v>
      </c>
      <c r="EW9" s="158">
        <f t="shared" si="15"/>
        <v>8.163008</v>
      </c>
      <c r="EX9" s="193">
        <f>_xlfn.XLOOKUP(K9,[2]目录表!$H:$H,[2]目录表!$AB:$AB)</f>
        <v>0.04081504</v>
      </c>
      <c r="EY9" s="158"/>
      <c r="EZ9" s="194">
        <f t="shared" si="16"/>
        <v>0</v>
      </c>
      <c r="FA9" s="184"/>
      <c r="FK9" s="128" t="str">
        <f>_xlfn.XLOOKUP(K9,[2]目录表!$H:$H,[2]目录表!$AJ:$AJ)</f>
        <v>装柜</v>
      </c>
    </row>
    <row r="10" customHeight="1" spans="1:175">
      <c r="B10" s="180" t="s">
        <v>137</v>
      </c>
      <c r="C10" s="138">
        <v>14</v>
      </c>
      <c r="D10" s="158">
        <v>46</v>
      </c>
      <c r="E10" s="181">
        <v>45889</v>
      </c>
      <c r="G10" s="158" t="s">
        <v>138</v>
      </c>
      <c r="H10" s="127" t="s">
        <v>139</v>
      </c>
      <c r="I10" s="182"/>
      <c r="J10" s="127" t="s">
        <v>140</v>
      </c>
      <c r="K10" s="127" t="s">
        <v>141</v>
      </c>
      <c r="L10" s="185">
        <v>2515831365</v>
      </c>
      <c r="M10" s="183" t="s">
        <v>97</v>
      </c>
      <c r="N10" s="131" t="e">
        <f>_xlfn.XLOOKUP(L10,数据更新表!J:J,数据更新表!K:K)</f>
        <v>#N/A</v>
      </c>
      <c r="O10" s="131">
        <f>IFERROR(_xlfn.XLOOKUP(K10,数据更新表!A:A,数据更新表!B:B),"0")</f>
        <v>0</v>
      </c>
      <c r="P10" s="131">
        <f>_xlfn.XLOOKUP(K10,[1]库销表!$F:$F,[1]库销表!$L:$L)</f>
        <v>0</v>
      </c>
      <c r="Q10" s="184">
        <f t="shared" si="0"/>
        <v>0</v>
      </c>
      <c r="S10" s="128" t="e">
        <f>_xlfn.XLOOKUP(K10,数据更新表!R:R,数据更新表!S:S)</f>
        <v>#N/A</v>
      </c>
      <c r="T10" s="128" t="e">
        <f>_xlfn.XLOOKUP(K10,数据更新表!V:V,数据更新表!W:W)</f>
        <v>#N/A</v>
      </c>
      <c r="V10" s="185">
        <f t="shared" si="1"/>
        <v>0</v>
      </c>
      <c r="W10" s="158">
        <f t="shared" si="2"/>
        <v>0.714285714285714</v>
      </c>
      <c r="X10" s="158">
        <f t="shared" si="17"/>
        <v>0</v>
      </c>
      <c r="AF10" s="128">
        <f t="shared" si="3"/>
        <v>0</v>
      </c>
      <c r="AL10" s="131"/>
      <c r="BJ10" s="131"/>
      <c r="BK10" s="131"/>
      <c r="BS10" s="131">
        <f>_xlfn.XLOOKUP(K10,[1]库销表!$F:$F,[1]库销表!$L:$L)</f>
        <v>0</v>
      </c>
      <c r="BT10" s="131">
        <f t="shared" si="4"/>
        <v>0</v>
      </c>
      <c r="CW10" s="131">
        <f>_xlfn.XLOOKUP(K10,[1]库销表!$F:$F,[1]库销表!$IE:$IE)</f>
        <v>0</v>
      </c>
      <c r="CX10" s="131">
        <f>_xlfn.XLOOKUP(K10,[1]库销表!$F:$F,[1]库销表!$IF:$IF)</f>
        <v>0</v>
      </c>
      <c r="CY10" s="186">
        <f>_xlfn.XLOOKUP(K10,[1]库销表!$F:$F,[1]库销表!$FL:$FL)</f>
        <v>0</v>
      </c>
      <c r="CZ10" s="131">
        <f>_xlfn.XLOOKUP(K10,数据更新表!E:E,数据更新表!F:F,0)</f>
        <v>5</v>
      </c>
      <c r="DA10" s="131">
        <v>5</v>
      </c>
      <c r="DB10" s="131">
        <f>_xlfn.XLOOKUP(K10,数据更新表!E:E,数据更新表!G:G)</f>
        <v>0</v>
      </c>
      <c r="DC10" s="187">
        <f>_xlfn.XLOOKUP(L10,数据更新表!Z:Z,数据更新表!AH:AH)</f>
        <v>4</v>
      </c>
      <c r="DD10" s="131">
        <f>_xlfn.XLOOKUP(L10,数据更新表!Z:Z,数据更新表!AE:AE)</f>
        <v>1</v>
      </c>
      <c r="DE10" s="131">
        <f>_xlfn.XLOOKUP(L10,数据更新表!Z:Z,数据更新表!AF:AF)</f>
        <v>1</v>
      </c>
      <c r="DF10" s="131" t="e">
        <f>_xlfn.XLOOKUP(K10,数据更新表!Z:Z,数据更新表!AG:AG)</f>
        <v>#N/A</v>
      </c>
      <c r="DG10" s="128">
        <f>_xlfn.XLOOKUP(L10,数据更新表!Z:Z,数据更新表!AD:AD)</f>
        <v>36.96</v>
      </c>
      <c r="DH10" s="128">
        <f>_xlfn.XLOOKUP(L10,数据更新表!Z:Z,数据更新表!AA:AA)</f>
        <v>3717</v>
      </c>
      <c r="DI10" s="128">
        <f>_xlfn.XLOOKUP(L10,数据更新表!Z:Z,数据更新表!AB:AB)</f>
        <v>21</v>
      </c>
      <c r="DJ10" s="128" t="str">
        <f>_xlfn.XLOOKUP(L10,数据更新表!Z:Z,数据更新表!AC:AC)</f>
        <v>8.05%</v>
      </c>
      <c r="DK10" s="133" t="str">
        <f>_xlfn.XLOOKUP(L10,数据更新表!Z:Z,数据更新表!AI:AI)</f>
        <v>1.61%</v>
      </c>
      <c r="DL10" s="133" t="str">
        <f>_xlfn.XLOOKUP(L10,数据更新表!AL:AL,数据更新表!AM:AM)</f>
        <v>1.61%</v>
      </c>
      <c r="DM10" s="131">
        <f>_xlfn.XLOOKUP(L10,数据更新表!Z:Z,数据更新表!AJ:AJ)</f>
        <v>12.42</v>
      </c>
      <c r="DN10" s="187">
        <v>10</v>
      </c>
      <c r="DO10" s="188" t="s">
        <v>111</v>
      </c>
      <c r="DP10" s="199" t="s">
        <v>142</v>
      </c>
      <c r="DQ10" s="134">
        <v>46074</v>
      </c>
      <c r="DU10" s="197" t="s">
        <v>143</v>
      </c>
      <c r="DV10" s="197"/>
      <c r="DW10" s="189"/>
      <c r="DX10" s="189"/>
      <c r="DY10" s="189"/>
      <c r="DZ10" s="189"/>
      <c r="EE10" s="158">
        <v>459</v>
      </c>
      <c r="EF10" s="190">
        <f>EE10/0.7</f>
        <v>655.714285714286</v>
      </c>
      <c r="EG10" s="158">
        <v>50</v>
      </c>
      <c r="EH10" s="191">
        <f t="shared" si="5"/>
        <v>0.277449790028475</v>
      </c>
      <c r="EI10" s="158">
        <f t="shared" si="6"/>
        <v>130.5</v>
      </c>
      <c r="EJ10" s="190">
        <f t="shared" si="7"/>
        <v>52.110485</v>
      </c>
      <c r="EK10" s="191">
        <f t="shared" si="8"/>
        <v>0.113530468409586</v>
      </c>
      <c r="EL10" s="192">
        <f t="shared" ref="EL10:EL50" si="18">EX10*3000*$EI$1</f>
        <v>57.319515</v>
      </c>
      <c r="EM10" s="185" t="str">
        <f t="shared" si="10"/>
        <v>是</v>
      </c>
      <c r="EN10" s="158">
        <f t="shared" si="11"/>
        <v>22.95</v>
      </c>
      <c r="EO10" s="190">
        <f t="shared" si="12"/>
        <v>80.325</v>
      </c>
      <c r="EP10" s="182">
        <f>IF(EE10&lt;299,IF(EE10&lt;99,25,IF(EE10&lt;=149,30,IF(EE10&lt;=299,37,85))),IF(EE10&lt;=498,_xlfn.XLOOKUP(EW10,运费表!A:A,运费表!C:C,"重量超限",-1),_xlfn.XLOOKUP(EW10,运费表!A:A,运费表!D:D,"重量超限",-1)))</f>
        <v>67.6</v>
      </c>
      <c r="EQ10" s="182">
        <f t="shared" si="13"/>
        <v>48.195</v>
      </c>
      <c r="ER10" s="158">
        <f>_xlfn.XLOOKUP(K10,[4]目录表!$H:$H,[4]目录表!$X:$X)</f>
        <v>1.8</v>
      </c>
      <c r="ES10" s="158">
        <f>_xlfn.XLOOKUP(K10,[4]目录表!$H:$H,[4]目录表!$Y:$Y)</f>
        <v>60.5</v>
      </c>
      <c r="ET10" s="158">
        <f>_xlfn.XLOOKUP(K10,[4]目录表!$H:$H,[4]目录表!$Z:$Z)</f>
        <v>11</v>
      </c>
      <c r="EU10" s="158">
        <f>_xlfn.XLOOKUP(K10,[4]目录表!$H:$H,[4]目录表!$AA:$AA)</f>
        <v>11</v>
      </c>
      <c r="EV10" s="158">
        <f t="shared" si="14"/>
        <v>1.4641</v>
      </c>
      <c r="EW10" s="158">
        <f t="shared" si="15"/>
        <v>1.8</v>
      </c>
      <c r="EX10" s="193">
        <f>_xlfn.XLOOKUP(K10,[2]目录表!$H:$H,[2]目录表!$AB:$AB)</f>
        <v>0.0073205</v>
      </c>
      <c r="EY10" s="158"/>
      <c r="EZ10" s="194">
        <f t="shared" si="16"/>
        <v>0.714285714285714</v>
      </c>
      <c r="FA10" s="184"/>
      <c r="FK10" s="128" t="str">
        <f>_xlfn.XLOOKUP(K10,[2]目录表!$H:$H,[2]目录表!$AJ:$AJ)</f>
        <v>散货</v>
      </c>
    </row>
    <row r="11" ht="46.25" customHeight="1" spans="1:175">
      <c r="B11" s="200" t="s">
        <v>144</v>
      </c>
      <c r="C11" s="158">
        <v>15</v>
      </c>
      <c r="D11" s="158">
        <v>47</v>
      </c>
      <c r="E11" s="181">
        <v>46041</v>
      </c>
      <c r="G11" s="158" t="s">
        <v>145</v>
      </c>
      <c r="H11" s="157" t="s">
        <v>146</v>
      </c>
      <c r="J11" s="127" t="s">
        <v>147</v>
      </c>
      <c r="K11" s="127" t="s">
        <v>148</v>
      </c>
      <c r="L11" s="128">
        <v>4683662970</v>
      </c>
      <c r="M11" s="189" t="s">
        <v>149</v>
      </c>
      <c r="N11" s="131" t="str">
        <f>_xlfn.XLOOKUP(L11,数据更新表!J:J,数据更新表!K:K)</f>
        <v>--</v>
      </c>
      <c r="O11" s="131">
        <f>IFERROR(_xlfn.XLOOKUP(K11,数据更新表!A:A,数据更新表!B:B),"0")</f>
        <v>30</v>
      </c>
      <c r="P11" s="131">
        <f>_xlfn.XLOOKUP(K11,[1]库销表!$F:$F,[1]库销表!$L:$L)</f>
        <v>0</v>
      </c>
      <c r="Q11" s="184" t="e">
        <f t="shared" si="0"/>
        <v>#DIV/0!</v>
      </c>
      <c r="S11" s="128" t="e">
        <f>_xlfn.XLOOKUP(K11,数据更新表!R:R,数据更新表!S:S)</f>
        <v>#N/A</v>
      </c>
      <c r="T11" s="128" t="e">
        <f>_xlfn.XLOOKUP(K11,数据更新表!V:V,数据更新表!W:W)</f>
        <v>#N/A</v>
      </c>
      <c r="V11" s="185" t="str">
        <f t="shared" si="1"/>
        <v>0</v>
      </c>
      <c r="W11" s="158">
        <f t="shared" si="2"/>
        <v>0</v>
      </c>
      <c r="X11" s="158">
        <f t="shared" si="17"/>
        <v>30</v>
      </c>
      <c r="AF11" s="128">
        <f t="shared" si="3"/>
        <v>30</v>
      </c>
      <c r="AK11" s="128">
        <v>30</v>
      </c>
      <c r="AL11" s="131"/>
      <c r="BI11" s="131"/>
      <c r="BS11" s="131">
        <f>_xlfn.XLOOKUP(K11,[1]库销表!$F:$F,[1]库销表!$L:$L)</f>
        <v>0</v>
      </c>
      <c r="BT11" s="131">
        <f t="shared" si="4"/>
        <v>0</v>
      </c>
      <c r="CW11" s="131">
        <f>_xlfn.XLOOKUP(K11,[1]库销表!$F:$F,[1]库销表!$IE:$IE)</f>
        <v>0</v>
      </c>
      <c r="CX11" s="131">
        <f>_xlfn.XLOOKUP(K11,[1]库销表!$F:$F,[1]库销表!$IF:$IF)</f>
        <v>0</v>
      </c>
      <c r="CY11" s="186">
        <f>_xlfn.XLOOKUP(K11,[1]库销表!$F:$F,[1]库销表!$FL:$FL)</f>
        <v>0</v>
      </c>
      <c r="CZ11" s="131">
        <f>_xlfn.XLOOKUP(K11,数据更新表!E:E,数据更新表!F:F,0)</f>
        <v>0</v>
      </c>
      <c r="DA11" s="131">
        <v>0</v>
      </c>
      <c r="DB11" s="131" t="e">
        <f>_xlfn.XLOOKUP(K11,数据更新表!E:E,数据更新表!G:G)</f>
        <v>#N/A</v>
      </c>
      <c r="DC11" s="187">
        <f>_xlfn.XLOOKUP(L11,数据更新表!Z:Z,数据更新表!AH:AH)</f>
        <v>0</v>
      </c>
      <c r="DD11" s="131">
        <f>_xlfn.XLOOKUP(L11,数据更新表!Z:Z,数据更新表!AE:AE)</f>
        <v>0</v>
      </c>
      <c r="DE11" s="131">
        <f>_xlfn.XLOOKUP(L11,数据更新表!Z:Z,数据更新表!AF:AF)</f>
        <v>0</v>
      </c>
      <c r="DF11" s="131" t="e">
        <f>_xlfn.XLOOKUP(K11,数据更新表!Z:Z,数据更新表!AG:AG)</f>
        <v>#N/A</v>
      </c>
      <c r="DG11" s="128">
        <f>_xlfn.XLOOKUP(L11,数据更新表!Z:Z,数据更新表!AD:AD)</f>
        <v>3.64</v>
      </c>
      <c r="DH11" s="128">
        <f>_xlfn.XLOOKUP(L11,数据更新表!Z:Z,数据更新表!AA:AA)</f>
        <v>1495</v>
      </c>
      <c r="DI11" s="128">
        <f>_xlfn.XLOOKUP(L11,数据更新表!Z:Z,数据更新表!AB:AB)</f>
        <v>2</v>
      </c>
      <c r="DJ11" s="128" t="str">
        <f>_xlfn.XLOOKUP(L11,数据更新表!Z:Z,数据更新表!AC:AC)</f>
        <v>0.00%</v>
      </c>
      <c r="DK11" s="133" t="str">
        <f>_xlfn.XLOOKUP(L11,数据更新表!Z:Z,数据更新表!AI:AI)</f>
        <v>0.00%</v>
      </c>
      <c r="DL11" s="133" t="str">
        <f>_xlfn.XLOOKUP(L11,数据更新表!AL:AL,数据更新表!AM:AM)</f>
        <v>0.00%</v>
      </c>
      <c r="DM11" s="131">
        <f>_xlfn.XLOOKUP(L11,数据更新表!Z:Z,数据更新表!AJ:AJ)</f>
        <v>0</v>
      </c>
      <c r="DN11" s="187">
        <v>6.6</v>
      </c>
      <c r="DO11" s="188" t="s">
        <v>111</v>
      </c>
      <c r="DP11" s="187" t="s">
        <v>150</v>
      </c>
      <c r="DQ11" s="134">
        <v>46084</v>
      </c>
      <c r="DU11" s="197" t="s">
        <v>151</v>
      </c>
      <c r="DY11" s="189" t="s">
        <v>152</v>
      </c>
      <c r="EB11" s="189"/>
      <c r="ED11" s="189" t="s">
        <v>153</v>
      </c>
      <c r="EE11" s="158">
        <v>288</v>
      </c>
      <c r="EF11" s="190">
        <f t="shared" ref="EF11:EF15" si="19">EE11/0.7</f>
        <v>411.428571428571</v>
      </c>
      <c r="EG11" s="158">
        <v>51</v>
      </c>
      <c r="EH11" s="191">
        <f t="shared" si="5"/>
        <v>0.112752127970775</v>
      </c>
      <c r="EI11" s="158">
        <f t="shared" si="6"/>
        <v>133.11</v>
      </c>
      <c r="EJ11" s="190">
        <f t="shared" si="7"/>
        <v>15.803</v>
      </c>
      <c r="EK11" s="191">
        <f t="shared" si="8"/>
        <v>0.0548715277777777</v>
      </c>
      <c r="EL11" s="192">
        <f t="shared" si="18"/>
        <v>7.047</v>
      </c>
      <c r="EM11" s="158" t="str">
        <f t="shared" si="10"/>
        <v>否</v>
      </c>
      <c r="EN11" s="158">
        <f t="shared" si="11"/>
        <v>14.4</v>
      </c>
      <c r="EO11" s="190">
        <f t="shared" si="12"/>
        <v>50.4</v>
      </c>
      <c r="EP11" s="182">
        <f>IF(EE11&lt;299,IF(EE11&lt;99,25,IF(EE11&lt;=149,30,IF(EE11&lt;=299,37,85))),IF(EE11&lt;=498,_xlfn.XLOOKUP(EW11,运费表!A:A,运费表!C:C,"重量超限",-1),_xlfn.XLOOKUP(EW11,运费表!A:A,运费表!D:D,"重量超限",-1)))</f>
        <v>37</v>
      </c>
      <c r="EQ11" s="182">
        <f t="shared" si="13"/>
        <v>30.24</v>
      </c>
      <c r="ER11" s="158">
        <f>_xlfn.XLOOKUP(K11,[4]目录表!$H:$H,[4]目录表!$X:$X)</f>
        <v>0.3</v>
      </c>
      <c r="ES11" s="158">
        <f>_xlfn.XLOOKUP(K11,[4]目录表!$H:$H,[4]目录表!$Y:$Y)</f>
        <v>0</v>
      </c>
      <c r="ET11" s="158">
        <f>_xlfn.XLOOKUP(K11,[4]目录表!$H:$H,[4]目录表!$Z:$Z)</f>
        <v>0</v>
      </c>
      <c r="EU11" s="158">
        <f>_xlfn.XLOOKUP(K11,[4]目录表!$H:$H,[4]目录表!$AA:$AA)</f>
        <v>0</v>
      </c>
      <c r="EV11" s="158">
        <f t="shared" ref="EV11:EV15" si="20">(50*30*30)/50/5000</f>
        <v>0.18</v>
      </c>
      <c r="EW11" s="158">
        <f t="shared" si="15"/>
        <v>0.3</v>
      </c>
      <c r="EX11" s="193">
        <f>_xlfn.XLOOKUP(K11,[2]目录表!$H:$H,[2]目录表!$AB:$AB)</f>
        <v>0.0009</v>
      </c>
      <c r="EZ11" s="194">
        <f t="shared" si="16"/>
        <v>0</v>
      </c>
      <c r="FK11" s="128" t="str">
        <f>_xlfn.XLOOKUP(K11,[2]目录表!$H:$H,[2]目录表!$AJ:$AJ)</f>
        <v>散货</v>
      </c>
    </row>
    <row r="12" customHeight="1" spans="1:175">
      <c r="B12" s="200" t="s">
        <v>154</v>
      </c>
      <c r="C12" s="158">
        <v>0</v>
      </c>
      <c r="D12" s="158">
        <v>5</v>
      </c>
      <c r="E12" s="181">
        <v>46038</v>
      </c>
      <c r="G12" s="158" t="s">
        <v>145</v>
      </c>
      <c r="H12" s="157" t="s">
        <v>155</v>
      </c>
      <c r="J12" s="201" t="s">
        <v>156</v>
      </c>
      <c r="K12" s="127" t="s">
        <v>157</v>
      </c>
      <c r="L12" s="128">
        <v>4683845582</v>
      </c>
      <c r="M12" s="189" t="s">
        <v>149</v>
      </c>
      <c r="N12" s="131" t="str">
        <f>_xlfn.XLOOKUP(L12,数据更新表!J:J,数据更新表!K:K)</f>
        <v>--</v>
      </c>
      <c r="O12" s="131">
        <f>IFERROR(_xlfn.XLOOKUP(K12,数据更新表!A:A,数据更新表!B:B),"0")</f>
        <v>30</v>
      </c>
      <c r="P12" s="131">
        <f>_xlfn.XLOOKUP(K12,[1]库销表!$F:$F,[1]库销表!$L:$L)</f>
        <v>0</v>
      </c>
      <c r="Q12" s="184" t="e">
        <f t="shared" si="0"/>
        <v>#DIV/0!</v>
      </c>
      <c r="S12" s="128" t="e">
        <f>_xlfn.XLOOKUP(K12,数据更新表!R:R,数据更新表!S:S)</f>
        <v>#N/A</v>
      </c>
      <c r="T12" s="128" t="e">
        <f>_xlfn.XLOOKUP(K12,数据更新表!V:V,数据更新表!W:W)</f>
        <v>#N/A</v>
      </c>
      <c r="V12" s="185" t="str">
        <f t="shared" si="1"/>
        <v>0</v>
      </c>
      <c r="W12" s="158">
        <f t="shared" si="2"/>
        <v>0</v>
      </c>
      <c r="X12" s="158">
        <f t="shared" si="17"/>
        <v>30</v>
      </c>
      <c r="AF12" s="128">
        <f t="shared" si="3"/>
        <v>30</v>
      </c>
      <c r="AK12" s="128">
        <v>30</v>
      </c>
      <c r="AL12" s="131"/>
      <c r="BI12" s="131"/>
      <c r="BS12" s="131">
        <f>_xlfn.XLOOKUP(K12,[1]库销表!$F:$F,[1]库销表!$L:$L)</f>
        <v>0</v>
      </c>
      <c r="BT12" s="131">
        <f t="shared" si="4"/>
        <v>0</v>
      </c>
      <c r="CW12" s="131">
        <f>_xlfn.XLOOKUP(K12,[1]库销表!$F:$F,[1]库销表!$IE:$IE)</f>
        <v>0</v>
      </c>
      <c r="CX12" s="131">
        <f>_xlfn.XLOOKUP(K12,[1]库销表!$F:$F,[1]库销表!$IF:$IF)</f>
        <v>0</v>
      </c>
      <c r="CY12" s="186">
        <f>_xlfn.XLOOKUP(K12,[1]库销表!$F:$F,[1]库销表!$FL:$FL)</f>
        <v>0</v>
      </c>
      <c r="CZ12" s="131">
        <f>_xlfn.XLOOKUP(K12,数据更新表!E:E,数据更新表!F:F,0)</f>
        <v>0</v>
      </c>
      <c r="DA12" s="131">
        <v>0</v>
      </c>
      <c r="DB12" s="131" t="e">
        <f>_xlfn.XLOOKUP(K12,数据更新表!E:E,数据更新表!G:G)</f>
        <v>#N/A</v>
      </c>
      <c r="DC12" s="187">
        <f>_xlfn.XLOOKUP(L12,数据更新表!Z:Z,数据更新表!AH:AH)</f>
        <v>0</v>
      </c>
      <c r="DD12" s="131">
        <f>_xlfn.XLOOKUP(L12,数据更新表!Z:Z,数据更新表!AE:AE)</f>
        <v>0</v>
      </c>
      <c r="DE12" s="131">
        <f>_xlfn.XLOOKUP(L12,数据更新表!Z:Z,数据更新表!AF:AF)</f>
        <v>0</v>
      </c>
      <c r="DF12" s="131" t="e">
        <f>_xlfn.XLOOKUP(K12,数据更新表!Z:Z,数据更新表!AG:AG)</f>
        <v>#N/A</v>
      </c>
      <c r="DG12" s="128">
        <f>_xlfn.XLOOKUP(L12,数据更新表!Z:Z,数据更新表!AD:AD)</f>
        <v>2.32</v>
      </c>
      <c r="DH12" s="128">
        <f>_xlfn.XLOOKUP(L12,数据更新表!Z:Z,数据更新表!AA:AA)</f>
        <v>1860</v>
      </c>
      <c r="DI12" s="128">
        <f>_xlfn.XLOOKUP(L12,数据更新表!Z:Z,数据更新表!AB:AB)</f>
        <v>2</v>
      </c>
      <c r="DJ12" s="128" t="str">
        <f>_xlfn.XLOOKUP(L12,数据更新表!Z:Z,数据更新表!AC:AC)</f>
        <v>0.00%</v>
      </c>
      <c r="DK12" s="133" t="str">
        <f>_xlfn.XLOOKUP(L12,数据更新表!Z:Z,数据更新表!AI:AI)</f>
        <v>0.00%</v>
      </c>
      <c r="DL12" s="133" t="str">
        <f>_xlfn.XLOOKUP(L12,数据更新表!AL:AL,数据更新表!AM:AM)</f>
        <v>0.00%</v>
      </c>
      <c r="DM12" s="131">
        <f>_xlfn.XLOOKUP(L12,数据更新表!Z:Z,数据更新表!AJ:AJ)</f>
        <v>0</v>
      </c>
      <c r="DN12" s="187">
        <v>6.6</v>
      </c>
      <c r="DO12" s="188" t="s">
        <v>111</v>
      </c>
      <c r="DP12" s="187" t="s">
        <v>150</v>
      </c>
      <c r="DQ12" s="134">
        <v>46084</v>
      </c>
      <c r="DU12" s="197" t="s">
        <v>151</v>
      </c>
      <c r="EB12" s="189"/>
      <c r="ED12" s="189" t="s">
        <v>158</v>
      </c>
      <c r="EE12" s="158">
        <v>238</v>
      </c>
      <c r="EF12" s="190">
        <f t="shared" si="19"/>
        <v>340</v>
      </c>
      <c r="EG12" s="158">
        <v>43</v>
      </c>
      <c r="EH12" s="191">
        <f t="shared" si="5"/>
        <v>0.0266857818355593</v>
      </c>
      <c r="EI12" s="158">
        <f t="shared" si="6"/>
        <v>112.23</v>
      </c>
      <c r="EJ12" s="190">
        <f t="shared" si="7"/>
        <v>3.183</v>
      </c>
      <c r="EK12" s="191">
        <f t="shared" si="8"/>
        <v>0.0133739495798319</v>
      </c>
      <c r="EL12" s="192">
        <f t="shared" si="18"/>
        <v>7.047</v>
      </c>
      <c r="EM12" s="158" t="str">
        <f t="shared" si="10"/>
        <v>否</v>
      </c>
      <c r="EN12" s="158">
        <f t="shared" si="11"/>
        <v>11.9</v>
      </c>
      <c r="EO12" s="190">
        <f t="shared" si="12"/>
        <v>41.65</v>
      </c>
      <c r="EP12" s="182">
        <f>IF(EE12&lt;299,IF(EE12&lt;99,25,IF(EE12&lt;=149,30,IF(EE12&lt;=299,37,85))),IF(EE12&lt;=498,_xlfn.XLOOKUP(EW12,运费表!A:A,运费表!C:C,"重量超限",-1),_xlfn.XLOOKUP(EW12,运费表!A:A,运费表!D:D,"重量超限",-1)))</f>
        <v>37</v>
      </c>
      <c r="EQ12" s="182">
        <f t="shared" si="13"/>
        <v>24.99</v>
      </c>
      <c r="ER12" s="158">
        <f>_xlfn.XLOOKUP(K12,[4]目录表!$H:$H,[4]目录表!$X:$X)</f>
        <v>0.34</v>
      </c>
      <c r="ES12" s="158">
        <f>_xlfn.XLOOKUP(K12,[4]目录表!$H:$H,[4]目录表!$Y:$Y)</f>
        <v>0</v>
      </c>
      <c r="ET12" s="158">
        <f>_xlfn.XLOOKUP(K12,[4]目录表!$H:$H,[4]目录表!$Z:$Z)</f>
        <v>0</v>
      </c>
      <c r="EU12" s="158">
        <f>_xlfn.XLOOKUP(K12,[4]目录表!$H:$H,[4]目录表!$AA:$AA)</f>
        <v>0</v>
      </c>
      <c r="EV12" s="158">
        <f t="shared" si="20"/>
        <v>0.18</v>
      </c>
      <c r="EW12" s="158">
        <f t="shared" si="15"/>
        <v>0.34</v>
      </c>
      <c r="EX12" s="193">
        <f>_xlfn.XLOOKUP(K12,[2]目录表!$H:$H,[2]目录表!$AB:$AB)</f>
        <v>0.0009</v>
      </c>
      <c r="EZ12" s="194">
        <f t="shared" si="16"/>
        <v>0</v>
      </c>
      <c r="FK12" s="128" t="str">
        <f>_xlfn.XLOOKUP(K12,[2]目录表!$H:$H,[2]目录表!$AJ:$AJ)</f>
        <v>散货</v>
      </c>
    </row>
    <row r="13" customHeight="1" spans="1:175">
      <c r="B13" s="200" t="s">
        <v>159</v>
      </c>
      <c r="C13" s="158">
        <v>1</v>
      </c>
      <c r="D13" s="158">
        <v>2</v>
      </c>
      <c r="E13" s="181">
        <v>46038</v>
      </c>
      <c r="G13" s="158" t="s">
        <v>145</v>
      </c>
      <c r="H13" s="157" t="s">
        <v>160</v>
      </c>
      <c r="J13" s="127" t="s">
        <v>161</v>
      </c>
      <c r="K13" s="127" t="s">
        <v>162</v>
      </c>
      <c r="L13" s="128">
        <v>4683730910</v>
      </c>
      <c r="M13" s="189" t="s">
        <v>149</v>
      </c>
      <c r="N13" s="131" t="str">
        <f>_xlfn.XLOOKUP(L13,数据更新表!J:J,数据更新表!K:K)</f>
        <v>--</v>
      </c>
      <c r="O13" s="131">
        <f>IFERROR(_xlfn.XLOOKUP(K13,数据更新表!A:A,数据更新表!B:B),"0")</f>
        <v>30</v>
      </c>
      <c r="P13" s="131">
        <f>_xlfn.XLOOKUP(K13,[1]库销表!$F:$F,[1]库销表!$L:$L)</f>
        <v>0</v>
      </c>
      <c r="Q13" s="184" t="e">
        <f t="shared" si="0"/>
        <v>#DIV/0!</v>
      </c>
      <c r="S13" s="128" t="e">
        <f>_xlfn.XLOOKUP(K13,数据更新表!R:R,数据更新表!S:S)</f>
        <v>#N/A</v>
      </c>
      <c r="T13" s="128" t="e">
        <f>_xlfn.XLOOKUP(K13,数据更新表!V:V,数据更新表!W:W)</f>
        <v>#N/A</v>
      </c>
      <c r="V13" s="185" t="str">
        <f t="shared" si="1"/>
        <v>0</v>
      </c>
      <c r="W13" s="158">
        <f t="shared" si="2"/>
        <v>0</v>
      </c>
      <c r="X13" s="158">
        <f t="shared" si="17"/>
        <v>30</v>
      </c>
      <c r="AF13" s="128">
        <f t="shared" si="3"/>
        <v>30</v>
      </c>
      <c r="AK13" s="128">
        <v>30</v>
      </c>
      <c r="AL13" s="131"/>
      <c r="BI13" s="131"/>
      <c r="BS13" s="131">
        <f>_xlfn.XLOOKUP(K13,[1]库销表!$F:$F,[1]库销表!$L:$L)</f>
        <v>0</v>
      </c>
      <c r="BT13" s="131">
        <f t="shared" si="4"/>
        <v>0</v>
      </c>
      <c r="CW13" s="131">
        <f>_xlfn.XLOOKUP(K13,[1]库销表!$F:$F,[1]库销表!$IE:$IE)</f>
        <v>0</v>
      </c>
      <c r="CX13" s="131">
        <f>_xlfn.XLOOKUP(K13,[1]库销表!$F:$F,[1]库销表!$IF:$IF)</f>
        <v>0</v>
      </c>
      <c r="CY13" s="186">
        <f>_xlfn.XLOOKUP(K13,[1]库销表!$F:$F,[1]库销表!$FL:$FL)</f>
        <v>0</v>
      </c>
      <c r="CZ13" s="131">
        <f>_xlfn.XLOOKUP(K13,数据更新表!E:E,数据更新表!F:F,0)</f>
        <v>0</v>
      </c>
      <c r="DA13" s="131">
        <v>0</v>
      </c>
      <c r="DB13" s="131" t="e">
        <f>_xlfn.XLOOKUP(K13,数据更新表!E:E,数据更新表!G:G)</f>
        <v>#N/A</v>
      </c>
      <c r="DC13" s="187">
        <f>_xlfn.XLOOKUP(L13,数据更新表!Z:Z,数据更新表!AH:AH)</f>
        <v>0</v>
      </c>
      <c r="DD13" s="131">
        <f>_xlfn.XLOOKUP(L13,数据更新表!Z:Z,数据更新表!AE:AE)</f>
        <v>0</v>
      </c>
      <c r="DE13" s="131">
        <f>_xlfn.XLOOKUP(L13,数据更新表!Z:Z,数据更新表!AF:AF)</f>
        <v>0</v>
      </c>
      <c r="DF13" s="131" t="e">
        <f>_xlfn.XLOOKUP(K13,数据更新表!Z:Z,数据更新表!AG:AG)</f>
        <v>#N/A</v>
      </c>
      <c r="DG13" s="128">
        <f>_xlfn.XLOOKUP(L13,数据更新表!Z:Z,数据更新表!AD:AD)</f>
        <v>1.81</v>
      </c>
      <c r="DH13" s="128">
        <f>_xlfn.XLOOKUP(L13,数据更新表!Z:Z,数据更新表!AA:AA)</f>
        <v>1595</v>
      </c>
      <c r="DI13" s="128">
        <f>_xlfn.XLOOKUP(L13,数据更新表!Z:Z,数据更新表!AB:AB)</f>
        <v>1</v>
      </c>
      <c r="DJ13" s="128" t="str">
        <f>_xlfn.XLOOKUP(L13,数据更新表!Z:Z,数据更新表!AC:AC)</f>
        <v>0.00%</v>
      </c>
      <c r="DK13" s="133" t="str">
        <f>_xlfn.XLOOKUP(L13,数据更新表!Z:Z,数据更新表!AI:AI)</f>
        <v>0.00%</v>
      </c>
      <c r="DL13" s="133" t="str">
        <f>_xlfn.XLOOKUP(L13,数据更新表!AL:AL,数据更新表!AM:AM)</f>
        <v>0.00%</v>
      </c>
      <c r="DM13" s="131">
        <f>_xlfn.XLOOKUP(L13,数据更新表!Z:Z,数据更新表!AJ:AJ)</f>
        <v>0</v>
      </c>
      <c r="DN13" s="187">
        <v>9.98</v>
      </c>
      <c r="DO13" s="188" t="s">
        <v>111</v>
      </c>
      <c r="DP13" s="187" t="s">
        <v>163</v>
      </c>
      <c r="DQ13" s="134">
        <v>46084</v>
      </c>
      <c r="DU13" s="189" t="s">
        <v>164</v>
      </c>
      <c r="DV13" s="189" t="s">
        <v>165</v>
      </c>
      <c r="DY13" s="189" t="s">
        <v>165</v>
      </c>
      <c r="EB13" s="189"/>
      <c r="ED13" s="189" t="s">
        <v>166</v>
      </c>
      <c r="EE13" s="158">
        <v>369</v>
      </c>
      <c r="EF13" s="190">
        <f t="shared" si="19"/>
        <v>527.142857142857</v>
      </c>
      <c r="EG13" s="158">
        <v>57</v>
      </c>
      <c r="EH13" s="191">
        <f t="shared" si="5"/>
        <v>0.194849954887744</v>
      </c>
      <c r="EI13" s="158">
        <f t="shared" si="6"/>
        <v>148.77</v>
      </c>
      <c r="EJ13" s="190">
        <f t="shared" si="7"/>
        <v>31.1848</v>
      </c>
      <c r="EK13" s="191">
        <f t="shared" si="8"/>
        <v>0.0845116531165311</v>
      </c>
      <c r="EL13" s="192">
        <f t="shared" si="18"/>
        <v>11.2752</v>
      </c>
      <c r="EM13" s="158" t="str">
        <f t="shared" si="10"/>
        <v>是</v>
      </c>
      <c r="EN13" s="158">
        <f t="shared" si="11"/>
        <v>18.45</v>
      </c>
      <c r="EO13" s="190">
        <f t="shared" si="12"/>
        <v>64.575</v>
      </c>
      <c r="EP13" s="182">
        <f>IF(EE13&lt;299,IF(EE13&lt;99,25,IF(EE13&lt;=149,30,IF(EE13&lt;=299,37,85))),IF(EE13&lt;=498,_xlfn.XLOOKUP(EW13,运费表!A:A,运费表!C:C,"重量超限",-1),_xlfn.XLOOKUP(EW13,运费表!A:A,运费表!D:D,"重量超限",-1)))</f>
        <v>56</v>
      </c>
      <c r="EQ13" s="182">
        <f t="shared" si="13"/>
        <v>38.745</v>
      </c>
      <c r="ER13" s="158">
        <f>_xlfn.XLOOKUP(K13,[4]目录表!$H:$H,[4]目录表!$X:$X)</f>
        <v>0.3</v>
      </c>
      <c r="ES13" s="158">
        <f>_xlfn.XLOOKUP(K13,[4]目录表!$H:$H,[4]目录表!$Y:$Y)</f>
        <v>0</v>
      </c>
      <c r="ET13" s="158">
        <f>_xlfn.XLOOKUP(K13,[4]目录表!$H:$H,[4]目录表!$Z:$Z)</f>
        <v>0</v>
      </c>
      <c r="EU13" s="158">
        <f>_xlfn.XLOOKUP(K13,[4]目录表!$H:$H,[4]目录表!$AA:$AA)</f>
        <v>0</v>
      </c>
      <c r="EV13" s="158">
        <f t="shared" si="20"/>
        <v>0.18</v>
      </c>
      <c r="EW13" s="158">
        <f t="shared" si="15"/>
        <v>0.3</v>
      </c>
      <c r="EX13" s="193">
        <f>_xlfn.XLOOKUP(K13,[2]目录表!$H:$H,[2]目录表!$AB:$AB)</f>
        <v>0.00144</v>
      </c>
      <c r="EZ13" s="194">
        <f t="shared" si="16"/>
        <v>0</v>
      </c>
      <c r="FK13" s="128" t="str">
        <f>_xlfn.XLOOKUP(K13,[2]目录表!$H:$H,[2]目录表!$AJ:$AJ)</f>
        <v>散货</v>
      </c>
    </row>
    <row r="14" customHeight="1" spans="1:175">
      <c r="B14" s="200" t="s">
        <v>167</v>
      </c>
      <c r="C14" s="158">
        <v>2</v>
      </c>
      <c r="D14" s="158">
        <v>17</v>
      </c>
      <c r="E14" s="181">
        <v>46041</v>
      </c>
      <c r="G14" s="158" t="s">
        <v>145</v>
      </c>
      <c r="H14" s="157" t="s">
        <v>168</v>
      </c>
      <c r="J14" s="127" t="s">
        <v>169</v>
      </c>
      <c r="K14" s="127" t="s">
        <v>170</v>
      </c>
      <c r="L14" s="128">
        <v>4683874212</v>
      </c>
      <c r="M14" s="189" t="s">
        <v>149</v>
      </c>
      <c r="N14" s="131">
        <f>_xlfn.XLOOKUP(L14,数据更新表!J:J,数据更新表!K:K)</f>
        <v>100</v>
      </c>
      <c r="O14" s="131">
        <f>IFERROR(_xlfn.XLOOKUP(K14,数据更新表!A:A,数据更新表!B:B),"0")</f>
        <v>27</v>
      </c>
      <c r="P14" s="131">
        <f>_xlfn.XLOOKUP(K14,[1]库销表!$F:$F,[1]库销表!$L:$L)</f>
        <v>0</v>
      </c>
      <c r="Q14" s="184">
        <f t="shared" si="0"/>
        <v>189</v>
      </c>
      <c r="S14" s="128" t="e">
        <f>_xlfn.XLOOKUP(K14,数据更新表!R:R,数据更新表!S:S)</f>
        <v>#N/A</v>
      </c>
      <c r="T14" s="128" t="e">
        <f>_xlfn.XLOOKUP(K14,数据更新表!V:V,数据更新表!W:W)</f>
        <v>#N/A</v>
      </c>
      <c r="V14" s="185">
        <f t="shared" si="1"/>
        <v>189</v>
      </c>
      <c r="W14" s="158">
        <f t="shared" si="2"/>
        <v>0.142857142857143</v>
      </c>
      <c r="X14" s="158">
        <f t="shared" si="17"/>
        <v>27</v>
      </c>
      <c r="AF14" s="128">
        <f t="shared" si="3"/>
        <v>30</v>
      </c>
      <c r="AK14" s="128">
        <v>30</v>
      </c>
      <c r="AL14" s="131"/>
      <c r="BI14" s="131"/>
      <c r="BS14" s="131">
        <f>_xlfn.XLOOKUP(K14,[1]库销表!$F:$F,[1]库销表!$L:$L)</f>
        <v>0</v>
      </c>
      <c r="BT14" s="131">
        <f t="shared" si="4"/>
        <v>0</v>
      </c>
      <c r="CW14" s="131">
        <f>_xlfn.XLOOKUP(K14,[1]库销表!$F:$F,[1]库销表!$IE:$IE)</f>
        <v>0</v>
      </c>
      <c r="CX14" s="131">
        <f>_xlfn.XLOOKUP(K14,[1]库销表!$F:$F,[1]库销表!$IF:$IF)</f>
        <v>0</v>
      </c>
      <c r="CY14" s="186">
        <f>_xlfn.XLOOKUP(K14,[1]库销表!$F:$F,[1]库销表!$FL:$FL)</f>
        <v>0</v>
      </c>
      <c r="CZ14" s="131">
        <f>_xlfn.XLOOKUP(K14,数据更新表!E:E,数据更新表!F:F,0)</f>
        <v>1</v>
      </c>
      <c r="DA14" s="131">
        <v>1</v>
      </c>
      <c r="DB14" s="131">
        <f>_xlfn.XLOOKUP(K14,数据更新表!E:E,数据更新表!G:G)</f>
        <v>0</v>
      </c>
      <c r="DC14" s="187">
        <f>_xlfn.XLOOKUP(L14,数据更新表!Z:Z,数据更新表!AH:AH)</f>
        <v>0</v>
      </c>
      <c r="DD14" s="131">
        <f>_xlfn.XLOOKUP(L14,数据更新表!Z:Z,数据更新表!AE:AE)</f>
        <v>1</v>
      </c>
      <c r="DE14" s="131">
        <f>_xlfn.XLOOKUP(L14,数据更新表!Z:Z,数据更新表!AF:AF)</f>
        <v>1</v>
      </c>
      <c r="DF14" s="131" t="e">
        <f>_xlfn.XLOOKUP(K14,数据更新表!Z:Z,数据更新表!AG:AG)</f>
        <v>#N/A</v>
      </c>
      <c r="DG14" s="128">
        <f>_xlfn.XLOOKUP(L14,数据更新表!Z:Z,数据更新表!AD:AD)</f>
        <v>62.28</v>
      </c>
      <c r="DH14" s="128">
        <f>_xlfn.XLOOKUP(L14,数据更新表!Z:Z,数据更新表!AA:AA)</f>
        <v>1120</v>
      </c>
      <c r="DI14" s="128">
        <f>_xlfn.XLOOKUP(L14,数据更新表!Z:Z,数据更新表!AB:AB)</f>
        <v>14</v>
      </c>
      <c r="DJ14" s="128" t="str">
        <f>_xlfn.XLOOKUP(L14,数据更新表!Z:Z,数据更新表!AC:AC)</f>
        <v>12.28%</v>
      </c>
      <c r="DK14" s="133" t="str">
        <f>_xlfn.XLOOKUP(L14,数据更新表!Z:Z,数据更新表!AI:AI)</f>
        <v>12.28%</v>
      </c>
      <c r="DL14" s="133" t="str">
        <f>_xlfn.XLOOKUP(L14,数据更新表!AL:AL,数据更新表!AM:AM)</f>
        <v>3.84%</v>
      </c>
      <c r="DM14" s="131">
        <f>_xlfn.XLOOKUP(L14,数据更新表!Z:Z,数据更新表!AJ:AJ)</f>
        <v>8.14</v>
      </c>
      <c r="DN14" s="187">
        <v>9.98</v>
      </c>
      <c r="DO14" s="188" t="s">
        <v>111</v>
      </c>
      <c r="DP14" s="187" t="s">
        <v>163</v>
      </c>
      <c r="DQ14" s="134">
        <v>46084</v>
      </c>
      <c r="ED14" s="189" t="s">
        <v>171</v>
      </c>
      <c r="EE14" s="158">
        <f>_xlfn.XLOOKUP(L14,数据更新表!J:J,数据更新表!L:L)</f>
        <v>507</v>
      </c>
      <c r="EF14" s="190">
        <f t="shared" si="19"/>
        <v>724.285714285714</v>
      </c>
      <c r="EG14" s="158">
        <v>65</v>
      </c>
      <c r="EH14" s="191">
        <f t="shared" si="5"/>
        <v>0.526285109537796</v>
      </c>
      <c r="EI14" s="158">
        <f t="shared" si="6"/>
        <v>169.65</v>
      </c>
      <c r="EJ14" s="190">
        <f t="shared" si="7"/>
        <v>92.993</v>
      </c>
      <c r="EK14" s="191">
        <f t="shared" si="8"/>
        <v>0.183418145956608</v>
      </c>
      <c r="EL14" s="192">
        <f t="shared" si="18"/>
        <v>7.047</v>
      </c>
      <c r="EM14" s="158" t="str">
        <f t="shared" si="10"/>
        <v>是</v>
      </c>
      <c r="EN14" s="158">
        <f t="shared" si="11"/>
        <v>25.35</v>
      </c>
      <c r="EO14" s="190">
        <f t="shared" si="12"/>
        <v>88.725</v>
      </c>
      <c r="EP14" s="182">
        <f>IF(EE14&lt;299,IF(EE14&lt;99,25,IF(EE14&lt;=149,30,IF(EE14&lt;=299,37,85))),IF(EE14&lt;=498,_xlfn.XLOOKUP(EW14,运费表!A:A,运费表!C:C,"重量超限",-1),_xlfn.XLOOKUP(EW14,运费表!A:A,运费表!D:D,"重量超限",-1)))</f>
        <v>70</v>
      </c>
      <c r="EQ14" s="182">
        <f t="shared" si="13"/>
        <v>53.235</v>
      </c>
      <c r="ER14" s="158">
        <f>_xlfn.XLOOKUP(K14,[4]目录表!$H:$H,[4]目录表!$X:$X)</f>
        <v>0.38</v>
      </c>
      <c r="ES14" s="158">
        <f>_xlfn.XLOOKUP(K14,[4]目录表!$H:$H,[4]目录表!$Y:$Y)</f>
        <v>0</v>
      </c>
      <c r="ET14" s="158">
        <f>_xlfn.XLOOKUP(K14,[4]目录表!$H:$H,[4]目录表!$Z:$Z)</f>
        <v>0</v>
      </c>
      <c r="EU14" s="158">
        <f>_xlfn.XLOOKUP(K14,[4]目录表!$H:$H,[4]目录表!$AA:$AA)</f>
        <v>0</v>
      </c>
      <c r="EV14" s="158">
        <f t="shared" si="20"/>
        <v>0.18</v>
      </c>
      <c r="EW14" s="158">
        <f t="shared" si="15"/>
        <v>0.38</v>
      </c>
      <c r="EX14" s="193">
        <f>_xlfn.XLOOKUP(K14,[2]目录表!$H:$H,[2]目录表!$AB:$AB)</f>
        <v>0.0009</v>
      </c>
      <c r="EZ14" s="194">
        <f t="shared" si="16"/>
        <v>0.142857142857143</v>
      </c>
      <c r="FK14" s="128" t="str">
        <f>_xlfn.XLOOKUP(K14,[2]目录表!$H:$H,[2]目录表!$AJ:$AJ)</f>
        <v>散货</v>
      </c>
    </row>
    <row r="15" customHeight="1" spans="1:175">
      <c r="B15" s="200" t="s">
        <v>172</v>
      </c>
      <c r="C15" s="158">
        <v>0</v>
      </c>
      <c r="D15" s="158">
        <v>4</v>
      </c>
      <c r="E15" s="181">
        <v>46038</v>
      </c>
      <c r="G15" s="158" t="s">
        <v>145</v>
      </c>
      <c r="H15" s="157" t="s">
        <v>173</v>
      </c>
      <c r="J15" s="201" t="s">
        <v>174</v>
      </c>
      <c r="K15" s="142" t="s">
        <v>175</v>
      </c>
      <c r="L15" s="128">
        <v>4683876182</v>
      </c>
      <c r="M15" s="189" t="s">
        <v>149</v>
      </c>
      <c r="N15" s="131" t="str">
        <f>_xlfn.XLOOKUP(L15,数据更新表!J:J,数据更新表!K:K)</f>
        <v>--</v>
      </c>
      <c r="O15" s="131">
        <f>IFERROR(_xlfn.XLOOKUP(K15,数据更新表!A:A,数据更新表!B:B),"0")</f>
        <v>19</v>
      </c>
      <c r="P15" s="131">
        <f>_xlfn.XLOOKUP(K15,[1]库销表!$F:$F,[1]库销表!$L:$L)</f>
        <v>0</v>
      </c>
      <c r="Q15" s="184" t="e">
        <f t="shared" si="0"/>
        <v>#DIV/0!</v>
      </c>
      <c r="S15" s="128" t="e">
        <f>_xlfn.XLOOKUP(K15,数据更新表!R:R,数据更新表!S:S)</f>
        <v>#N/A</v>
      </c>
      <c r="T15" s="128" t="e">
        <f>_xlfn.XLOOKUP(K15,数据更新表!V:V,数据更新表!W:W)</f>
        <v>#N/A</v>
      </c>
      <c r="V15" s="185" t="str">
        <f t="shared" si="1"/>
        <v>0</v>
      </c>
      <c r="W15" s="158">
        <f t="shared" si="2"/>
        <v>0</v>
      </c>
      <c r="X15" s="158">
        <f t="shared" si="17"/>
        <v>19</v>
      </c>
      <c r="AF15" s="128">
        <f t="shared" si="3"/>
        <v>19</v>
      </c>
      <c r="AK15" s="128">
        <v>19</v>
      </c>
      <c r="AL15" s="131"/>
      <c r="BI15" s="131"/>
      <c r="BS15" s="131">
        <f>_xlfn.XLOOKUP(K15,[1]库销表!$F:$F,[1]库销表!$L:$L)</f>
        <v>0</v>
      </c>
      <c r="BT15" s="131">
        <f t="shared" si="4"/>
        <v>0</v>
      </c>
      <c r="CW15" s="131">
        <f>_xlfn.XLOOKUP(K15,[1]库销表!$F:$F,[1]库销表!$IE:$IE)</f>
        <v>0</v>
      </c>
      <c r="CX15" s="131">
        <f>_xlfn.XLOOKUP(K15,[1]库销表!$F:$F,[1]库销表!$IF:$IF)</f>
        <v>0</v>
      </c>
      <c r="CY15" s="186">
        <f>_xlfn.XLOOKUP(K15,[1]库销表!$F:$F,[1]库销表!$FL:$FL)</f>
        <v>0</v>
      </c>
      <c r="CZ15" s="131">
        <f>_xlfn.XLOOKUP(K15,数据更新表!E:E,数据更新表!F:F,0)</f>
        <v>0</v>
      </c>
      <c r="DA15" s="131">
        <v>0</v>
      </c>
      <c r="DB15" s="131" t="e">
        <f>_xlfn.XLOOKUP(K15,数据更新表!E:E,数据更新表!G:G)</f>
        <v>#N/A</v>
      </c>
      <c r="DC15" s="187">
        <f>_xlfn.XLOOKUP(L15,数据更新表!Z:Z,数据更新表!AH:AH)</f>
        <v>0</v>
      </c>
      <c r="DD15" s="131">
        <f>_xlfn.XLOOKUP(L15,数据更新表!Z:Z,数据更新表!AE:AE)</f>
        <v>0</v>
      </c>
      <c r="DE15" s="131">
        <f>_xlfn.XLOOKUP(L15,数据更新表!Z:Z,数据更新表!AF:AF)</f>
        <v>0</v>
      </c>
      <c r="DF15" s="131" t="e">
        <f>_xlfn.XLOOKUP(K15,数据更新表!Z:Z,数据更新表!AG:AG)</f>
        <v>#N/A</v>
      </c>
      <c r="DG15" s="128">
        <f>_xlfn.XLOOKUP(L15,数据更新表!Z:Z,数据更新表!AD:AD)</f>
        <v>0</v>
      </c>
      <c r="DH15" s="128">
        <f>_xlfn.XLOOKUP(L15,数据更新表!Z:Z,数据更新表!AA:AA)</f>
        <v>1448</v>
      </c>
      <c r="DI15" s="128">
        <f>_xlfn.XLOOKUP(L15,数据更新表!Z:Z,数据更新表!AB:AB)</f>
        <v>0</v>
      </c>
      <c r="DJ15" s="128" t="str">
        <f>_xlfn.XLOOKUP(L15,数据更新表!Z:Z,数据更新表!AC:AC)</f>
        <v>0.00%</v>
      </c>
      <c r="DK15" s="133" t="str">
        <f>_xlfn.XLOOKUP(L15,数据更新表!Z:Z,数据更新表!AI:AI)</f>
        <v>0.00%</v>
      </c>
      <c r="DL15" s="133" t="str">
        <f>_xlfn.XLOOKUP(L15,数据更新表!AL:AL,数据更新表!AM:AM)</f>
        <v>0.00%</v>
      </c>
      <c r="DM15" s="131">
        <f>_xlfn.XLOOKUP(L15,数据更新表!Z:Z,数据更新表!AJ:AJ)</f>
        <v>0</v>
      </c>
      <c r="DN15" s="187">
        <v>9.98</v>
      </c>
      <c r="DO15" s="188" t="s">
        <v>111</v>
      </c>
      <c r="DP15" s="187" t="s">
        <v>163</v>
      </c>
      <c r="DQ15" s="134">
        <v>46084</v>
      </c>
      <c r="DU15" s="197" t="s">
        <v>176</v>
      </c>
      <c r="DV15" s="197"/>
      <c r="ED15" s="189" t="s">
        <v>177</v>
      </c>
      <c r="EE15" s="158">
        <v>199</v>
      </c>
      <c r="EF15" s="190">
        <f t="shared" si="19"/>
        <v>284.285714285714</v>
      </c>
      <c r="EG15" s="158">
        <v>85</v>
      </c>
      <c r="EH15" s="191">
        <f t="shared" si="5"/>
        <v>-0.579155690113894</v>
      </c>
      <c r="EI15" s="158">
        <f t="shared" si="6"/>
        <v>221.85</v>
      </c>
      <c r="EJ15" s="190">
        <f t="shared" si="7"/>
        <v>-132.567</v>
      </c>
      <c r="EK15" s="191">
        <f t="shared" si="8"/>
        <v>-0.666165829145729</v>
      </c>
      <c r="EL15" s="192">
        <f t="shared" si="18"/>
        <v>7.047</v>
      </c>
      <c r="EM15" s="158" t="str">
        <f t="shared" si="10"/>
        <v>否</v>
      </c>
      <c r="EN15" s="158">
        <f t="shared" si="11"/>
        <v>9.95</v>
      </c>
      <c r="EO15" s="190">
        <f t="shared" si="12"/>
        <v>34.825</v>
      </c>
      <c r="EP15" s="182">
        <f>IF(EE15&lt;299,IF(EE15&lt;99,25,IF(EE15&lt;=149,30,IF(EE15&lt;=299,37,85))),IF(EE15&lt;=498,_xlfn.XLOOKUP(EW15,运费表!A:A,运费表!C:C,"重量超限",-1),_xlfn.XLOOKUP(EW15,运费表!A:A,运费表!D:D,"重量超限",-1)))</f>
        <v>37</v>
      </c>
      <c r="EQ15" s="182">
        <f t="shared" si="13"/>
        <v>20.895</v>
      </c>
      <c r="ER15" s="158">
        <f>_xlfn.XLOOKUP(K15,[4]目录表!$H:$H,[4]目录表!$X:$X)</f>
        <v>0.46</v>
      </c>
      <c r="ES15" s="158">
        <f>_xlfn.XLOOKUP(K15,[4]目录表!$H:$H,[4]目录表!$Y:$Y)</f>
        <v>0</v>
      </c>
      <c r="ET15" s="158">
        <f>_xlfn.XLOOKUP(K15,[4]目录表!$H:$H,[4]目录表!$Z:$Z)</f>
        <v>0</v>
      </c>
      <c r="EU15" s="158">
        <f>_xlfn.XLOOKUP(K15,[4]目录表!$H:$H,[4]目录表!$AA:$AA)</f>
        <v>0</v>
      </c>
      <c r="EV15" s="158">
        <f t="shared" si="20"/>
        <v>0.18</v>
      </c>
      <c r="EW15" s="158">
        <f t="shared" si="15"/>
        <v>0.46</v>
      </c>
      <c r="EX15" s="193">
        <f>_xlfn.XLOOKUP(K15,[2]目录表!$H:$H,[2]目录表!$AB:$AB)</f>
        <v>0.0009</v>
      </c>
      <c r="EZ15" s="194">
        <f t="shared" si="16"/>
        <v>0</v>
      </c>
      <c r="FK15" s="128" t="str">
        <f>_xlfn.XLOOKUP(K15,[2]目录表!$H:$H,[2]目录表!$AJ:$AJ)</f>
        <v>散货</v>
      </c>
    </row>
    <row r="16" customHeight="1" spans="1:175">
      <c r="B16" s="200" t="s">
        <v>178</v>
      </c>
      <c r="C16" s="158">
        <v>11</v>
      </c>
      <c r="D16" s="158">
        <v>23</v>
      </c>
      <c r="E16" s="181">
        <v>45943</v>
      </c>
      <c r="G16" s="158" t="s">
        <v>179</v>
      </c>
      <c r="H16" s="157" t="s">
        <v>180</v>
      </c>
      <c r="J16" s="127" t="s">
        <v>181</v>
      </c>
      <c r="K16" s="127" t="s">
        <v>182</v>
      </c>
      <c r="M16" s="189" t="s">
        <v>183</v>
      </c>
      <c r="N16" s="131">
        <f>_xlfn.XLOOKUP(L16,数据更新表!J:J,数据更新表!K:K)</f>
        <v>0</v>
      </c>
      <c r="O16" s="131" t="str">
        <f>IFERROR(_xlfn.XLOOKUP(K16,数据更新表!A:A,数据更新表!B:B),"0")</f>
        <v>0</v>
      </c>
      <c r="P16" s="131">
        <f>_xlfn.XLOOKUP(K16,[1]库销表!$F:$F,[1]库销表!$L:$L)</f>
        <v>0</v>
      </c>
      <c r="Q16" s="184" t="e">
        <f t="shared" si="0"/>
        <v>#DIV/0!</v>
      </c>
      <c r="S16" s="128" t="e">
        <f>_xlfn.XLOOKUP(K16,数据更新表!R:R,数据更新表!S:S)</f>
        <v>#N/A</v>
      </c>
      <c r="T16" s="128" t="e">
        <f>_xlfn.XLOOKUP(K16,数据更新表!V:V,数据更新表!W:W)</f>
        <v>#N/A</v>
      </c>
      <c r="V16" s="185" t="str">
        <f t="shared" si="1"/>
        <v>0</v>
      </c>
      <c r="W16" s="158">
        <f t="shared" si="2"/>
        <v>0</v>
      </c>
      <c r="X16" s="158">
        <f t="shared" si="17"/>
        <v>0</v>
      </c>
      <c r="AF16" s="128">
        <f t="shared" si="3"/>
        <v>0</v>
      </c>
      <c r="AL16" s="131"/>
      <c r="BI16" s="131"/>
      <c r="BS16" s="131">
        <f>_xlfn.XLOOKUP(K16,[1]库销表!$F:$F,[1]库销表!$L:$L)</f>
        <v>0</v>
      </c>
      <c r="BT16" s="131">
        <f t="shared" si="4"/>
        <v>0</v>
      </c>
      <c r="CW16" s="131">
        <f>_xlfn.XLOOKUP(K16,[1]库销表!$F:$F,[1]库销表!$IE:$IE)</f>
        <v>0</v>
      </c>
      <c r="CX16" s="131">
        <f>_xlfn.XLOOKUP(K16,[1]库销表!$F:$F,[1]库销表!$IF:$IF)</f>
        <v>0</v>
      </c>
      <c r="CY16" s="186">
        <f>_xlfn.XLOOKUP(K16,[1]库销表!$F:$F,[1]库销表!$FL:$FL)</f>
        <v>0</v>
      </c>
      <c r="CZ16" s="131">
        <f>_xlfn.XLOOKUP(K16,数据更新表!E:E,数据更新表!F:F,0)</f>
        <v>0</v>
      </c>
      <c r="DA16" s="131">
        <v>0</v>
      </c>
      <c r="DB16" s="131" t="e">
        <f>_xlfn.XLOOKUP(K16,数据更新表!E:E,数据更新表!G:G)</f>
        <v>#N/A</v>
      </c>
      <c r="DC16" s="187">
        <f>_xlfn.XLOOKUP(L16,数据更新表!Z:Z,数据更新表!AH:AH)</f>
        <v>0</v>
      </c>
      <c r="DD16" s="131">
        <f>_xlfn.XLOOKUP(L16,数据更新表!Z:Z,数据更新表!AE:AE)</f>
        <v>0</v>
      </c>
      <c r="DE16" s="131">
        <f>_xlfn.XLOOKUP(L16,数据更新表!Z:Z,数据更新表!AF:AF)</f>
        <v>0</v>
      </c>
      <c r="DF16" s="131" t="e">
        <f>_xlfn.XLOOKUP(K16,数据更新表!Z:Z,数据更新表!AG:AG)</f>
        <v>#N/A</v>
      </c>
      <c r="DG16" s="128">
        <f>_xlfn.XLOOKUP(L16,数据更新表!Z:Z,数据更新表!AD:AD)</f>
        <v>0</v>
      </c>
      <c r="DH16" s="128">
        <f>_xlfn.XLOOKUP(L16,数据更新表!Z:Z,数据更新表!AA:AA)</f>
        <v>0</v>
      </c>
      <c r="DI16" s="128">
        <f>_xlfn.XLOOKUP(L16,数据更新表!Z:Z,数据更新表!AB:AB)</f>
        <v>0</v>
      </c>
      <c r="DJ16" s="128">
        <f>_xlfn.XLOOKUP(L16,数据更新表!Z:Z,数据更新表!AC:AC)</f>
        <v>0</v>
      </c>
      <c r="DK16" s="133">
        <f>_xlfn.XLOOKUP(L16,数据更新表!Z:Z,数据更新表!AI:AI)</f>
        <v>0</v>
      </c>
      <c r="DL16" s="133">
        <f>_xlfn.XLOOKUP(L16,数据更新表!AL:AL,数据更新表!AM:AM)</f>
        <v>0</v>
      </c>
      <c r="DM16" s="131">
        <f>_xlfn.XLOOKUP(L16,数据更新表!Z:Z,数据更新表!AJ:AJ)</f>
        <v>0</v>
      </c>
      <c r="DN16" s="187"/>
      <c r="DO16" s="188"/>
      <c r="EE16" s="158">
        <f>_xlfn.XLOOKUP(L16,数据更新表!J:J,数据更新表!L:L)</f>
        <v>0</v>
      </c>
      <c r="EF16" s="158">
        <f>_xlfn.XLOOKUP(L16,数据更新表!J:J,数据更新表!M:M)</f>
        <v>0</v>
      </c>
      <c r="EG16" s="202">
        <v>265</v>
      </c>
      <c r="EH16" s="191">
        <f t="shared" si="5"/>
        <v>-1.03211043936072</v>
      </c>
      <c r="EI16" s="158">
        <f t="shared" si="6"/>
        <v>691.65</v>
      </c>
      <c r="EJ16" s="190">
        <f t="shared" si="7"/>
        <v>-803.563</v>
      </c>
      <c r="EK16" s="191" t="e">
        <f t="shared" si="8"/>
        <v>#DIV/0!</v>
      </c>
      <c r="EL16" s="192">
        <f t="shared" si="18"/>
        <v>86.913</v>
      </c>
      <c r="EM16" s="158" t="str">
        <f t="shared" si="10"/>
        <v>否</v>
      </c>
      <c r="EN16" s="158">
        <f t="shared" si="11"/>
        <v>0</v>
      </c>
      <c r="EO16" s="190">
        <f t="shared" si="12"/>
        <v>0</v>
      </c>
      <c r="EP16" s="182">
        <f>IF(EE16&lt;299,IF(EE16&lt;99,25,IF(EE16&lt;=149,30,IF(EE16&lt;=299,37,85))),IF(EE16&lt;=498,_xlfn.XLOOKUP(EW16,运费表!A:A,运费表!C:C,"重量超限",-1),_xlfn.XLOOKUP(EW16,运费表!A:A,运费表!D:D,"重量超限",-1)))</f>
        <v>25</v>
      </c>
      <c r="EQ16" s="182">
        <f t="shared" si="13"/>
        <v>0</v>
      </c>
      <c r="ER16" s="158">
        <f>_xlfn.XLOOKUP(K16,[4]目录表!$H:$H,[4]目录表!$X:$X)</f>
        <v>6.55</v>
      </c>
      <c r="ES16" s="158">
        <f>_xlfn.XLOOKUP(K16,[4]目录表!$H:$H,[4]目录表!$Y:$Y)</f>
        <v>25</v>
      </c>
      <c r="ET16" s="158">
        <f>_xlfn.XLOOKUP(K16,[4]目录表!$H:$H,[4]目录表!$Z:$Z)</f>
        <v>24</v>
      </c>
      <c r="EU16" s="158">
        <f>_xlfn.XLOOKUP(K16,[4]目录表!$H:$H,[4]目录表!$AA:$AA)</f>
        <v>18.5</v>
      </c>
      <c r="EV16" s="158">
        <f t="shared" ref="EV16:EV79" si="21">ES16*ET16*EU16/5000</f>
        <v>2.22</v>
      </c>
      <c r="EW16" s="158">
        <f t="shared" si="15"/>
        <v>6.55</v>
      </c>
      <c r="EX16" s="193">
        <f>_xlfn.XLOOKUP(K16,[2]目录表!$H:$H,[2]目录表!$AB:$AB)</f>
        <v>0.0111</v>
      </c>
      <c r="EZ16" s="194">
        <f t="shared" si="16"/>
        <v>0</v>
      </c>
      <c r="FK16" s="128" t="str">
        <f>_xlfn.XLOOKUP(K16,[2]目录表!$H:$H,[2]目录表!$AJ:$AJ)</f>
        <v>散货</v>
      </c>
    </row>
    <row r="17" customHeight="1" spans="2:167">
      <c r="B17" s="200" t="s">
        <v>184</v>
      </c>
      <c r="C17" s="158">
        <v>13</v>
      </c>
      <c r="D17" s="158">
        <v>30</v>
      </c>
      <c r="E17" s="181">
        <v>45943</v>
      </c>
      <c r="G17" s="158" t="s">
        <v>179</v>
      </c>
      <c r="H17" s="157" t="s">
        <v>185</v>
      </c>
      <c r="J17" s="127" t="s">
        <v>186</v>
      </c>
      <c r="K17" s="127" t="s">
        <v>187</v>
      </c>
      <c r="M17" s="189" t="s">
        <v>183</v>
      </c>
      <c r="N17" s="131">
        <f>_xlfn.XLOOKUP(L17,数据更新表!J:J,数据更新表!K:K)</f>
        <v>0</v>
      </c>
      <c r="O17" s="131" t="str">
        <f>IFERROR(_xlfn.XLOOKUP(K17,数据更新表!A:A,数据更新表!B:B),"0")</f>
        <v>0</v>
      </c>
      <c r="P17" s="131">
        <f>_xlfn.XLOOKUP(K17,[1]库销表!$F:$F,[1]库销表!$L:$L)</f>
        <v>0</v>
      </c>
      <c r="Q17" s="184" t="e">
        <f t="shared" si="0"/>
        <v>#DIV/0!</v>
      </c>
      <c r="S17" s="128" t="e">
        <f>_xlfn.XLOOKUP(K17,数据更新表!R:R,数据更新表!S:S)</f>
        <v>#N/A</v>
      </c>
      <c r="T17" s="128" t="e">
        <f>_xlfn.XLOOKUP(K17,数据更新表!V:V,数据更新表!W:W)</f>
        <v>#N/A</v>
      </c>
      <c r="V17" s="185" t="str">
        <f t="shared" si="1"/>
        <v>0</v>
      </c>
      <c r="W17" s="158">
        <f t="shared" si="2"/>
        <v>0</v>
      </c>
      <c r="X17" s="158">
        <f t="shared" si="17"/>
        <v>0</v>
      </c>
      <c r="AF17" s="128">
        <f t="shared" si="3"/>
        <v>0</v>
      </c>
      <c r="AL17" s="131"/>
      <c r="BI17" s="131"/>
      <c r="BS17" s="131">
        <f>_xlfn.XLOOKUP(K17,[1]库销表!$F:$F,[1]库销表!$L:$L)</f>
        <v>0</v>
      </c>
      <c r="BT17" s="131">
        <f t="shared" si="4"/>
        <v>0</v>
      </c>
      <c r="CW17" s="131">
        <f>_xlfn.XLOOKUP(K17,[1]库销表!$F:$F,[1]库销表!$IE:$IE)</f>
        <v>0</v>
      </c>
      <c r="CX17" s="131">
        <f>_xlfn.XLOOKUP(K17,[1]库销表!$F:$F,[1]库销表!$IF:$IF)</f>
        <v>0</v>
      </c>
      <c r="CY17" s="186">
        <f>_xlfn.XLOOKUP(K17,[1]库销表!$F:$F,[1]库销表!$FL:$FL)</f>
        <v>0</v>
      </c>
      <c r="CZ17" s="131">
        <f>_xlfn.XLOOKUP(K17,数据更新表!E:E,数据更新表!F:F,0)</f>
        <v>0</v>
      </c>
      <c r="DA17" s="131">
        <v>0</v>
      </c>
      <c r="DB17" s="131" t="e">
        <f>_xlfn.XLOOKUP(K17,数据更新表!E:E,数据更新表!G:G)</f>
        <v>#N/A</v>
      </c>
      <c r="DC17" s="187">
        <f>_xlfn.XLOOKUP(L17,数据更新表!Z:Z,数据更新表!AH:AH)</f>
        <v>0</v>
      </c>
      <c r="DD17" s="131">
        <f>_xlfn.XLOOKUP(L17,数据更新表!Z:Z,数据更新表!AE:AE)</f>
        <v>0</v>
      </c>
      <c r="DE17" s="131">
        <f>_xlfn.XLOOKUP(L17,数据更新表!Z:Z,数据更新表!AF:AF)</f>
        <v>0</v>
      </c>
      <c r="DF17" s="131" t="e">
        <f>_xlfn.XLOOKUP(K17,数据更新表!Z:Z,数据更新表!AG:AG)</f>
        <v>#N/A</v>
      </c>
      <c r="DG17" s="128">
        <f>_xlfn.XLOOKUP(L17,数据更新表!Z:Z,数据更新表!AD:AD)</f>
        <v>0</v>
      </c>
      <c r="DH17" s="128">
        <f>_xlfn.XLOOKUP(L17,数据更新表!Z:Z,数据更新表!AA:AA)</f>
        <v>0</v>
      </c>
      <c r="DI17" s="128">
        <f>_xlfn.XLOOKUP(L17,数据更新表!Z:Z,数据更新表!AB:AB)</f>
        <v>0</v>
      </c>
      <c r="DJ17" s="128">
        <f>_xlfn.XLOOKUP(L17,数据更新表!Z:Z,数据更新表!AC:AC)</f>
        <v>0</v>
      </c>
      <c r="DK17" s="133">
        <f>_xlfn.XLOOKUP(L17,数据更新表!Z:Z,数据更新表!AI:AI)</f>
        <v>0</v>
      </c>
      <c r="DL17" s="133">
        <f>_xlfn.XLOOKUP(L17,数据更新表!AL:AL,数据更新表!AM:AM)</f>
        <v>0</v>
      </c>
      <c r="DM17" s="131">
        <f>_xlfn.XLOOKUP(L17,数据更新表!Z:Z,数据更新表!AJ:AJ)</f>
        <v>0</v>
      </c>
      <c r="DN17" s="187"/>
      <c r="DO17" s="188"/>
      <c r="EE17" s="158">
        <f>_xlfn.XLOOKUP(L17,数据更新表!J:J,数据更新表!L:L)</f>
        <v>0</v>
      </c>
      <c r="EF17" s="158">
        <f>_xlfn.XLOOKUP(L17,数据更新表!J:J,数据更新表!M:M)</f>
        <v>0</v>
      </c>
      <c r="EG17" s="202">
        <v>265</v>
      </c>
      <c r="EH17" s="191">
        <f t="shared" si="5"/>
        <v>-1.03211043936072</v>
      </c>
      <c r="EI17" s="158">
        <f t="shared" si="6"/>
        <v>691.65</v>
      </c>
      <c r="EJ17" s="190">
        <f t="shared" si="7"/>
        <v>-803.563</v>
      </c>
      <c r="EK17" s="191" t="e">
        <f t="shared" si="8"/>
        <v>#DIV/0!</v>
      </c>
      <c r="EL17" s="192">
        <f t="shared" si="18"/>
        <v>86.913</v>
      </c>
      <c r="EM17" s="158" t="str">
        <f t="shared" si="10"/>
        <v>否</v>
      </c>
      <c r="EN17" s="158">
        <f t="shared" si="11"/>
        <v>0</v>
      </c>
      <c r="EO17" s="190">
        <f t="shared" si="12"/>
        <v>0</v>
      </c>
      <c r="EP17" s="182">
        <f>IF(EE17&lt;299,IF(EE17&lt;99,25,IF(EE17&lt;=149,30,IF(EE17&lt;=299,37,85))),IF(EE17&lt;=498,_xlfn.XLOOKUP(EW17,运费表!A:A,运费表!C:C,"重量超限",-1),_xlfn.XLOOKUP(EW17,运费表!A:A,运费表!D:D,"重量超限",-1)))</f>
        <v>25</v>
      </c>
      <c r="EQ17" s="182">
        <f t="shared" si="13"/>
        <v>0</v>
      </c>
      <c r="ER17" s="158">
        <f>_xlfn.XLOOKUP(K17,[4]目录表!$H:$H,[4]目录表!$X:$X)</f>
        <v>7.5</v>
      </c>
      <c r="ES17" s="158">
        <f>_xlfn.XLOOKUP(K17,[4]目录表!$H:$H,[4]目录表!$Y:$Y)</f>
        <v>25</v>
      </c>
      <c r="ET17" s="158">
        <f>_xlfn.XLOOKUP(K17,[4]目录表!$H:$H,[4]目录表!$Z:$Z)</f>
        <v>24</v>
      </c>
      <c r="EU17" s="158">
        <f>_xlfn.XLOOKUP(K17,[4]目录表!$H:$H,[4]目录表!$AA:$AA)</f>
        <v>18.5</v>
      </c>
      <c r="EV17" s="158">
        <f t="shared" si="21"/>
        <v>2.22</v>
      </c>
      <c r="EW17" s="158">
        <f t="shared" si="15"/>
        <v>7.5</v>
      </c>
      <c r="EX17" s="193">
        <f>_xlfn.XLOOKUP(K17,[2]目录表!$H:$H,[2]目录表!$AB:$AB)</f>
        <v>0.0111</v>
      </c>
      <c r="EZ17" s="194">
        <f t="shared" si="16"/>
        <v>0</v>
      </c>
      <c r="FK17" s="128" t="str">
        <f>_xlfn.XLOOKUP(K17,[2]目录表!$H:$H,[2]目录表!$AJ:$AJ)</f>
        <v>散货</v>
      </c>
    </row>
    <row r="18" customHeight="1" spans="2:167">
      <c r="B18" s="200" t="s">
        <v>188</v>
      </c>
      <c r="C18" s="158">
        <v>15</v>
      </c>
      <c r="D18" s="158">
        <v>38</v>
      </c>
      <c r="E18" s="181">
        <v>46044</v>
      </c>
      <c r="G18" s="158" t="s">
        <v>189</v>
      </c>
      <c r="H18" s="203" t="s">
        <v>190</v>
      </c>
      <c r="J18" s="204" t="s">
        <v>191</v>
      </c>
      <c r="K18" s="127" t="s">
        <v>192</v>
      </c>
      <c r="L18" s="128">
        <v>2705951099</v>
      </c>
      <c r="M18" s="189" t="s">
        <v>149</v>
      </c>
      <c r="N18" s="131" t="str">
        <f>_xlfn.XLOOKUP(L18,数据更新表!J:J,数据更新表!K:K)</f>
        <v>--</v>
      </c>
      <c r="O18" s="131">
        <f>IFERROR(_xlfn.XLOOKUP(K18,数据更新表!A:A,数据更新表!B:B),"0")</f>
        <v>49</v>
      </c>
      <c r="P18" s="131">
        <f>_xlfn.XLOOKUP(K18,[1]库销表!$F:$F,[1]库销表!$L:$L)</f>
        <v>0</v>
      </c>
      <c r="Q18" s="184">
        <f t="shared" si="0"/>
        <v>343</v>
      </c>
      <c r="S18" s="128" t="e">
        <f>_xlfn.XLOOKUP(K18,数据更新表!R:R,数据更新表!S:S)</f>
        <v>#N/A</v>
      </c>
      <c r="T18" s="128" t="e">
        <f>_xlfn.XLOOKUP(K18,数据更新表!V:V,数据更新表!W:W)</f>
        <v>#N/A</v>
      </c>
      <c r="V18" s="185">
        <f t="shared" si="1"/>
        <v>343</v>
      </c>
      <c r="W18" s="158">
        <f t="shared" si="2"/>
        <v>0.142857142857143</v>
      </c>
      <c r="X18" s="158">
        <f t="shared" si="17"/>
        <v>49</v>
      </c>
      <c r="AF18" s="128">
        <f t="shared" si="3"/>
        <v>50</v>
      </c>
      <c r="AI18" s="128">
        <v>50</v>
      </c>
      <c r="AL18" s="131"/>
      <c r="BG18" s="131"/>
      <c r="BI18" s="131"/>
      <c r="BS18" s="131">
        <f>_xlfn.XLOOKUP(K18,[1]库销表!$F:$F,[1]库销表!$L:$L)</f>
        <v>0</v>
      </c>
      <c r="BT18" s="131">
        <f t="shared" si="4"/>
        <v>0</v>
      </c>
      <c r="CW18" s="131">
        <f>_xlfn.XLOOKUP(K18,[1]库销表!$F:$F,[1]库销表!$IE:$IE)</f>
        <v>0</v>
      </c>
      <c r="CX18" s="131">
        <f>_xlfn.XLOOKUP(K18,[1]库销表!$F:$F,[1]库销表!$IF:$IF)</f>
        <v>0</v>
      </c>
      <c r="CY18" s="186">
        <f>_xlfn.XLOOKUP(K18,[1]库销表!$F:$F,[1]库销表!$FL:$FL)</f>
        <v>0</v>
      </c>
      <c r="CZ18" s="131">
        <f>_xlfn.XLOOKUP(K18,数据更新表!E:E,数据更新表!F:F,0)</f>
        <v>1</v>
      </c>
      <c r="DA18" s="131">
        <v>0</v>
      </c>
      <c r="DB18" s="131">
        <f>_xlfn.XLOOKUP(K18,数据更新表!E:E,数据更新表!G:G)</f>
        <v>1</v>
      </c>
      <c r="DC18" s="187">
        <f>_xlfn.XLOOKUP(L18,数据更新表!Z:Z,数据更新表!AH:AH)</f>
        <v>1</v>
      </c>
      <c r="DD18" s="131">
        <f>_xlfn.XLOOKUP(L18,数据更新表!Z:Z,数据更新表!AE:AE)</f>
        <v>0</v>
      </c>
      <c r="DE18" s="131">
        <f>_xlfn.XLOOKUP(L18,数据更新表!Z:Z,数据更新表!AF:AF)</f>
        <v>0</v>
      </c>
      <c r="DF18" s="131" t="e">
        <f>_xlfn.XLOOKUP(K18,数据更新表!Z:Z,数据更新表!AG:AG)</f>
        <v>#N/A</v>
      </c>
      <c r="DG18" s="128">
        <f>_xlfn.XLOOKUP(L18,数据更新表!Z:Z,数据更新表!AD:AD)</f>
        <v>0</v>
      </c>
      <c r="DH18" s="128">
        <f>_xlfn.XLOOKUP(L18,数据更新表!Z:Z,数据更新表!AA:AA)</f>
        <v>511</v>
      </c>
      <c r="DI18" s="128">
        <f>_xlfn.XLOOKUP(L18,数据更新表!Z:Z,数据更新表!AB:AB)</f>
        <v>0</v>
      </c>
      <c r="DJ18" s="128" t="str">
        <f>_xlfn.XLOOKUP(L18,数据更新表!Z:Z,数据更新表!AC:AC)</f>
        <v>0.00%</v>
      </c>
      <c r="DK18" s="133" t="str">
        <f>_xlfn.XLOOKUP(L18,数据更新表!Z:Z,数据更新表!AI:AI)</f>
        <v>0.00%</v>
      </c>
      <c r="DL18" s="133" t="str">
        <f>_xlfn.XLOOKUP(L18,数据更新表!AL:AL,数据更新表!AM:AM)</f>
        <v>0.05%</v>
      </c>
      <c r="DM18" s="131">
        <f>_xlfn.XLOOKUP(L18,数据更新表!Z:Z,数据更新表!AJ:AJ)</f>
        <v>0</v>
      </c>
      <c r="DN18" s="187">
        <v>6.6</v>
      </c>
      <c r="DO18" s="188" t="s">
        <v>111</v>
      </c>
      <c r="DP18" s="187" t="s">
        <v>193</v>
      </c>
      <c r="DQ18" s="134">
        <v>46084</v>
      </c>
      <c r="EB18" s="189"/>
      <c r="ED18" s="189" t="s">
        <v>194</v>
      </c>
      <c r="EE18" s="158">
        <v>298</v>
      </c>
      <c r="EF18" s="190">
        <f t="shared" ref="EF18:EF30" si="22">EE18/0.7</f>
        <v>425.714285714286</v>
      </c>
      <c r="EG18" s="187">
        <v>26</v>
      </c>
      <c r="EH18" s="191">
        <f t="shared" si="5"/>
        <v>1.07847717621127</v>
      </c>
      <c r="EI18" s="158">
        <f t="shared" si="6"/>
        <v>67.86</v>
      </c>
      <c r="EJ18" s="190">
        <f t="shared" si="7"/>
        <v>84.40078125</v>
      </c>
      <c r="EK18" s="191">
        <f t="shared" si="8"/>
        <v>0.283224098154362</v>
      </c>
      <c r="EL18" s="192">
        <f t="shared" si="18"/>
        <v>10.39921875</v>
      </c>
      <c r="EM18" s="158" t="str">
        <f t="shared" si="10"/>
        <v>否</v>
      </c>
      <c r="EN18" s="158">
        <f t="shared" si="11"/>
        <v>14.9</v>
      </c>
      <c r="EO18" s="190">
        <f t="shared" si="12"/>
        <v>52.15</v>
      </c>
      <c r="EP18" s="182">
        <f>IF(EE18&lt;299,IF(EE18&lt;99,25,IF(EE18&lt;=149,30,IF(EE18&lt;=299,37,85))),IF(EE18&lt;=498,_xlfn.XLOOKUP(EW18,运费表!A:A,运费表!C:C,"重量超限",-1),_xlfn.XLOOKUP(EW18,运费表!A:A,运费表!D:D,"重量超限",-1)))</f>
        <v>37</v>
      </c>
      <c r="EQ18" s="182">
        <f t="shared" si="13"/>
        <v>31.29</v>
      </c>
      <c r="ER18" s="158">
        <f>_xlfn.XLOOKUP(K18,[4]目录表!$H:$H,[4]目录表!$X:$X)</f>
        <v>0.18</v>
      </c>
      <c r="ES18" s="158">
        <f>_xlfn.XLOOKUP(K18,[4]目录表!$H:$H,[4]目录表!$Y:$Y)</f>
        <v>12.5</v>
      </c>
      <c r="ET18" s="158">
        <f>_xlfn.XLOOKUP(K18,[4]目录表!$H:$H,[4]目录表!$Z:$Z)</f>
        <v>12.5</v>
      </c>
      <c r="EU18" s="158">
        <f>_xlfn.XLOOKUP(K18,[4]目录表!$H:$H,[4]目录表!$AA:$AA)</f>
        <v>8.5</v>
      </c>
      <c r="EV18" s="158">
        <f t="shared" si="21"/>
        <v>0.265625</v>
      </c>
      <c r="EW18" s="158">
        <f t="shared" si="15"/>
        <v>0.265625</v>
      </c>
      <c r="EX18" s="193">
        <f>_xlfn.XLOOKUP(K18,[2]目录表!$H:$H,[2]目录表!$AB:$AB)</f>
        <v>0.001328125</v>
      </c>
      <c r="EZ18" s="194">
        <f t="shared" si="16"/>
        <v>0.142857142857143</v>
      </c>
      <c r="FK18" s="128" t="str">
        <f>_xlfn.XLOOKUP(K18,[2]目录表!$H:$H,[2]目录表!$AJ:$AJ)</f>
        <v>散货</v>
      </c>
    </row>
    <row r="19" customHeight="1" spans="2:167">
      <c r="B19" s="200" t="s">
        <v>195</v>
      </c>
      <c r="C19" s="158">
        <v>5</v>
      </c>
      <c r="D19" s="158">
        <v>22</v>
      </c>
      <c r="E19" s="181">
        <v>46044</v>
      </c>
      <c r="G19" s="158" t="s">
        <v>189</v>
      </c>
      <c r="H19" s="203" t="s">
        <v>196</v>
      </c>
      <c r="J19" s="204" t="s">
        <v>197</v>
      </c>
      <c r="K19" s="127" t="s">
        <v>198</v>
      </c>
      <c r="L19" s="128">
        <v>2705860671</v>
      </c>
      <c r="M19" s="189" t="s">
        <v>149</v>
      </c>
      <c r="N19" s="131" t="e">
        <f>_xlfn.XLOOKUP(L19,数据更新表!J:J,数据更新表!K:K)</f>
        <v>#N/A</v>
      </c>
      <c r="O19" s="131">
        <f>IFERROR(_xlfn.XLOOKUP(K19,数据更新表!A:A,数据更新表!B:B),"0")</f>
        <v>50</v>
      </c>
      <c r="P19" s="131">
        <f>_xlfn.XLOOKUP(K19,[1]库销表!$F:$F,[1]库销表!$L:$L)</f>
        <v>0</v>
      </c>
      <c r="Q19" s="184" t="e">
        <f t="shared" si="0"/>
        <v>#DIV/0!</v>
      </c>
      <c r="S19" s="128" t="e">
        <f>_xlfn.XLOOKUP(K19,数据更新表!R:R,数据更新表!S:S)</f>
        <v>#N/A</v>
      </c>
      <c r="T19" s="128" t="e">
        <f>_xlfn.XLOOKUP(K19,数据更新表!V:V,数据更新表!W:W)</f>
        <v>#N/A</v>
      </c>
      <c r="V19" s="185" t="str">
        <f t="shared" si="1"/>
        <v>0</v>
      </c>
      <c r="W19" s="158">
        <f t="shared" si="2"/>
        <v>0</v>
      </c>
      <c r="X19" s="158">
        <f t="shared" si="17"/>
        <v>50</v>
      </c>
      <c r="AF19" s="128">
        <f t="shared" si="3"/>
        <v>50</v>
      </c>
      <c r="AI19" s="128">
        <v>50</v>
      </c>
      <c r="AL19" s="131"/>
      <c r="BG19" s="131"/>
      <c r="BI19" s="131"/>
      <c r="BS19" s="131">
        <f>_xlfn.XLOOKUP(K19,[1]库销表!$F:$F,[1]库销表!$L:$L)</f>
        <v>0</v>
      </c>
      <c r="BT19" s="131">
        <f t="shared" si="4"/>
        <v>0</v>
      </c>
      <c r="CW19" s="131">
        <f>_xlfn.XLOOKUP(K19,[1]库销表!$F:$F,[1]库销表!$IE:$IE)</f>
        <v>0</v>
      </c>
      <c r="CX19" s="131">
        <f>_xlfn.XLOOKUP(K19,[1]库销表!$F:$F,[1]库销表!$IF:$IF)</f>
        <v>0</v>
      </c>
      <c r="CY19" s="186">
        <f>_xlfn.XLOOKUP(K19,[1]库销表!$F:$F,[1]库销表!$FL:$FL)</f>
        <v>0</v>
      </c>
      <c r="CZ19" s="131">
        <f>_xlfn.XLOOKUP(K19,数据更新表!E:E,数据更新表!F:F,0)</f>
        <v>0</v>
      </c>
      <c r="DA19" s="131">
        <v>0</v>
      </c>
      <c r="DB19" s="131" t="e">
        <f>_xlfn.XLOOKUP(K19,数据更新表!E:E,数据更新表!G:G)</f>
        <v>#N/A</v>
      </c>
      <c r="DC19" s="187" t="e">
        <f>_xlfn.XLOOKUP(L19,数据更新表!Z:Z,数据更新表!AH:AH)</f>
        <v>#N/A</v>
      </c>
      <c r="DD19" s="131" t="e">
        <f>_xlfn.XLOOKUP(L19,数据更新表!Z:Z,数据更新表!AE:AE)</f>
        <v>#N/A</v>
      </c>
      <c r="DE19" s="131" t="e">
        <f>_xlfn.XLOOKUP(L19,数据更新表!Z:Z,数据更新表!AF:AF)</f>
        <v>#N/A</v>
      </c>
      <c r="DF19" s="131" t="e">
        <f>_xlfn.XLOOKUP(K19,数据更新表!Z:Z,数据更新表!AG:AG)</f>
        <v>#N/A</v>
      </c>
      <c r="DG19" s="128" t="e">
        <f>_xlfn.XLOOKUP(L19,数据更新表!Z:Z,数据更新表!AD:AD)</f>
        <v>#N/A</v>
      </c>
      <c r="DH19" s="128" t="e">
        <f>_xlfn.XLOOKUP(L19,数据更新表!Z:Z,数据更新表!AA:AA)</f>
        <v>#N/A</v>
      </c>
      <c r="DI19" s="128" t="e">
        <f>_xlfn.XLOOKUP(L19,数据更新表!Z:Z,数据更新表!AB:AB)</f>
        <v>#N/A</v>
      </c>
      <c r="DJ19" s="128" t="e">
        <f>_xlfn.XLOOKUP(L19,数据更新表!Z:Z,数据更新表!AC:AC)</f>
        <v>#N/A</v>
      </c>
      <c r="DK19" s="133" t="e">
        <f>_xlfn.XLOOKUP(L19,数据更新表!Z:Z,数据更新表!AI:AI)</f>
        <v>#N/A</v>
      </c>
      <c r="DL19" s="133" t="str">
        <f>_xlfn.XLOOKUP(L19,数据更新表!AL:AL,数据更新表!AM:AM)</f>
        <v>0.00%</v>
      </c>
      <c r="DM19" s="131" t="e">
        <f>_xlfn.XLOOKUP(L19,数据更新表!Z:Z,数据更新表!AJ:AJ)</f>
        <v>#N/A</v>
      </c>
      <c r="DN19" s="187">
        <v>6.6</v>
      </c>
      <c r="DO19" s="188" t="s">
        <v>111</v>
      </c>
      <c r="DP19" s="187" t="s">
        <v>193</v>
      </c>
      <c r="DQ19" s="134">
        <v>46084</v>
      </c>
      <c r="EB19" s="189"/>
      <c r="ED19" s="189" t="s">
        <v>199</v>
      </c>
      <c r="EE19" s="158">
        <v>149</v>
      </c>
      <c r="EF19" s="190">
        <f t="shared" si="22"/>
        <v>212.857142857143</v>
      </c>
      <c r="EG19" s="187">
        <v>16</v>
      </c>
      <c r="EH19" s="191">
        <f t="shared" si="5"/>
        <v>0.338785389687226</v>
      </c>
      <c r="EI19" s="158">
        <f t="shared" si="6"/>
        <v>41.76</v>
      </c>
      <c r="EJ19" s="190">
        <f t="shared" si="7"/>
        <v>17.67078125</v>
      </c>
      <c r="EK19" s="191">
        <f t="shared" si="8"/>
        <v>0.118595847315436</v>
      </c>
      <c r="EL19" s="192">
        <f t="shared" si="18"/>
        <v>10.39921875</v>
      </c>
      <c r="EM19" s="158" t="str">
        <f t="shared" si="10"/>
        <v>否</v>
      </c>
      <c r="EN19" s="158">
        <f t="shared" si="11"/>
        <v>7.45</v>
      </c>
      <c r="EO19" s="190">
        <f t="shared" si="12"/>
        <v>26.075</v>
      </c>
      <c r="EP19" s="182">
        <f>IF(EE19&lt;299,IF(EE19&lt;99,25,IF(EE19&lt;=149,30,IF(EE19&lt;=299,37,85))),IF(EE19&lt;=498,_xlfn.XLOOKUP(EW19,运费表!A:A,运费表!C:C,"重量超限",-1),_xlfn.XLOOKUP(EW19,运费表!A:A,运费表!D:D,"重量超限",-1)))</f>
        <v>30</v>
      </c>
      <c r="EQ19" s="182">
        <f t="shared" si="13"/>
        <v>15.645</v>
      </c>
      <c r="ER19" s="158">
        <f>_xlfn.XLOOKUP(K19,[4]目录表!$H:$H,[4]目录表!$X:$X)</f>
        <v>0.18</v>
      </c>
      <c r="ES19" s="158">
        <f>_xlfn.XLOOKUP(K19,[4]目录表!$H:$H,[4]目录表!$Y:$Y)</f>
        <v>12.5</v>
      </c>
      <c r="ET19" s="158">
        <f>_xlfn.XLOOKUP(K19,[4]目录表!$H:$H,[4]目录表!$Z:$Z)</f>
        <v>12.5</v>
      </c>
      <c r="EU19" s="158">
        <f>_xlfn.XLOOKUP(K19,[4]目录表!$H:$H,[4]目录表!$AA:$AA)</f>
        <v>8.5</v>
      </c>
      <c r="EV19" s="158">
        <f t="shared" si="21"/>
        <v>0.265625</v>
      </c>
      <c r="EW19" s="158">
        <f t="shared" si="15"/>
        <v>0.265625</v>
      </c>
      <c r="EX19" s="193">
        <f>_xlfn.XLOOKUP(K19,[2]目录表!$H:$H,[2]目录表!$AB:$AB)</f>
        <v>0.001328125</v>
      </c>
      <c r="EZ19" s="194">
        <f t="shared" si="16"/>
        <v>0</v>
      </c>
      <c r="FK19" s="128" t="str">
        <f>_xlfn.XLOOKUP(K19,[2]目录表!$H:$H,[2]目录表!$AJ:$AJ)</f>
        <v>散货</v>
      </c>
    </row>
    <row r="20" customHeight="1" spans="2:167">
      <c r="B20" s="200" t="s">
        <v>200</v>
      </c>
      <c r="C20" s="158">
        <v>0</v>
      </c>
      <c r="D20" s="158">
        <v>3</v>
      </c>
      <c r="E20" s="181">
        <v>46045</v>
      </c>
      <c r="G20" s="158" t="s">
        <v>189</v>
      </c>
      <c r="H20" s="203" t="s">
        <v>201</v>
      </c>
      <c r="J20" s="204" t="s">
        <v>202</v>
      </c>
      <c r="K20" s="127" t="s">
        <v>203</v>
      </c>
      <c r="L20" s="128">
        <v>4700259114</v>
      </c>
      <c r="M20" s="189" t="s">
        <v>149</v>
      </c>
      <c r="N20" s="131">
        <f>_xlfn.XLOOKUP(L20,数据更新表!J:J,数据更新表!K:K)</f>
        <v>100</v>
      </c>
      <c r="O20" s="131">
        <f>IFERROR(_xlfn.XLOOKUP(K20,数据更新表!A:A,数据更新表!B:B),"0")</f>
        <v>49</v>
      </c>
      <c r="P20" s="131">
        <f>_xlfn.XLOOKUP(K20,[1]库销表!$F:$F,[1]库销表!$L:$L)</f>
        <v>0</v>
      </c>
      <c r="Q20" s="184">
        <f t="shared" si="0"/>
        <v>343</v>
      </c>
      <c r="S20" s="128" t="e">
        <f>_xlfn.XLOOKUP(K20,数据更新表!R:R,数据更新表!S:S)</f>
        <v>#N/A</v>
      </c>
      <c r="T20" s="128" t="e">
        <f>_xlfn.XLOOKUP(K20,数据更新表!V:V,数据更新表!W:W)</f>
        <v>#N/A</v>
      </c>
      <c r="V20" s="185">
        <f t="shared" si="1"/>
        <v>343</v>
      </c>
      <c r="W20" s="158">
        <f t="shared" si="2"/>
        <v>0.142857142857143</v>
      </c>
      <c r="X20" s="158">
        <f t="shared" si="17"/>
        <v>49</v>
      </c>
      <c r="AF20" s="128">
        <f t="shared" si="3"/>
        <v>50</v>
      </c>
      <c r="AI20" s="128">
        <v>50</v>
      </c>
      <c r="AL20" s="131"/>
      <c r="BG20" s="131"/>
      <c r="BI20" s="131"/>
      <c r="BS20" s="131">
        <f>_xlfn.XLOOKUP(K20,[1]库销表!$F:$F,[1]库销表!$L:$L)</f>
        <v>0</v>
      </c>
      <c r="BT20" s="131">
        <f t="shared" si="4"/>
        <v>0</v>
      </c>
      <c r="CW20" s="131">
        <f>_xlfn.XLOOKUP(K20,[1]库销表!$F:$F,[1]库销表!$IE:$IE)</f>
        <v>0</v>
      </c>
      <c r="CX20" s="131">
        <f>_xlfn.XLOOKUP(K20,[1]库销表!$F:$F,[1]库销表!$IF:$IF)</f>
        <v>0</v>
      </c>
      <c r="CY20" s="186">
        <f>_xlfn.XLOOKUP(K20,[1]库销表!$F:$F,[1]库销表!$FL:$FL)</f>
        <v>0</v>
      </c>
      <c r="CZ20" s="131">
        <f>_xlfn.XLOOKUP(K20,数据更新表!E:E,数据更新表!F:F,0)</f>
        <v>1</v>
      </c>
      <c r="DA20" s="131">
        <v>0</v>
      </c>
      <c r="DB20" s="131">
        <f>_xlfn.XLOOKUP(K20,数据更新表!E:E,数据更新表!G:G)</f>
        <v>0</v>
      </c>
      <c r="DC20" s="187">
        <f>_xlfn.XLOOKUP(L20,数据更新表!Z:Z,数据更新表!AH:AH)</f>
        <v>0</v>
      </c>
      <c r="DD20" s="131">
        <f>_xlfn.XLOOKUP(L20,数据更新表!Z:Z,数据更新表!AE:AE)</f>
        <v>1</v>
      </c>
      <c r="DE20" s="131">
        <f>_xlfn.XLOOKUP(L20,数据更新表!Z:Z,数据更新表!AF:AF)</f>
        <v>1</v>
      </c>
      <c r="DF20" s="131" t="e">
        <f>_xlfn.XLOOKUP(K20,数据更新表!Z:Z,数据更新表!AG:AG)</f>
        <v>#N/A</v>
      </c>
      <c r="DG20" s="128">
        <f>_xlfn.XLOOKUP(L20,数据更新表!Z:Z,数据更新表!AD:AD)</f>
        <v>185.29</v>
      </c>
      <c r="DH20" s="128">
        <f>_xlfn.XLOOKUP(L20,数据更新表!Z:Z,数据更新表!AA:AA)</f>
        <v>7336</v>
      </c>
      <c r="DI20" s="128">
        <f>_xlfn.XLOOKUP(L20,数据更新表!Z:Z,数据更新表!AB:AB)</f>
        <v>17</v>
      </c>
      <c r="DJ20" s="128" t="str">
        <f>_xlfn.XLOOKUP(L20,数据更新表!Z:Z,数据更新表!AC:AC)</f>
        <v>42.21%</v>
      </c>
      <c r="DK20" s="133" t="str">
        <f>_xlfn.XLOOKUP(L20,数据更新表!Z:Z,数据更新表!AI:AI)</f>
        <v>42.21%</v>
      </c>
      <c r="DL20" s="133" t="str">
        <f>_xlfn.XLOOKUP(L20,数据更新表!AL:AL,数据更新表!AM:AM)</f>
        <v>45.69%</v>
      </c>
      <c r="DM20" s="131">
        <f>_xlfn.XLOOKUP(L20,数据更新表!Z:Z,数据更新表!AJ:AJ)</f>
        <v>2.37</v>
      </c>
      <c r="DN20" s="187">
        <v>6.6</v>
      </c>
      <c r="DO20" s="188" t="s">
        <v>111</v>
      </c>
      <c r="DP20" s="187" t="s">
        <v>193</v>
      </c>
      <c r="DQ20" s="134">
        <v>46084</v>
      </c>
      <c r="DW20" s="189"/>
      <c r="DX20" s="189"/>
      <c r="DY20" s="189"/>
      <c r="DZ20" s="189"/>
      <c r="ED20" s="189" t="s">
        <v>204</v>
      </c>
      <c r="EE20" s="158">
        <v>439</v>
      </c>
      <c r="EF20" s="190">
        <f t="shared" si="22"/>
        <v>627.142857142857</v>
      </c>
      <c r="EG20" s="187">
        <v>26</v>
      </c>
      <c r="EH20" s="191">
        <f t="shared" si="5"/>
        <v>2.08883737738565</v>
      </c>
      <c r="EI20" s="158">
        <f t="shared" si="6"/>
        <v>67.86</v>
      </c>
      <c r="EJ20" s="190">
        <f t="shared" si="7"/>
        <v>163.47078125</v>
      </c>
      <c r="EK20" s="191">
        <f t="shared" si="8"/>
        <v>0.372370800113895</v>
      </c>
      <c r="EL20" s="192">
        <f t="shared" si="18"/>
        <v>10.39921875</v>
      </c>
      <c r="EM20" s="158" t="str">
        <f t="shared" si="10"/>
        <v>是</v>
      </c>
      <c r="EN20" s="158">
        <f t="shared" si="11"/>
        <v>21.95</v>
      </c>
      <c r="EO20" s="190">
        <f t="shared" si="12"/>
        <v>76.825</v>
      </c>
      <c r="EP20" s="182">
        <f>IF(EE20&lt;299,IF(EE20&lt;99,25,IF(EE20&lt;=149,30,IF(EE20&lt;=299,37,85))),IF(EE20&lt;=498,_xlfn.XLOOKUP(EW20,运费表!A:A,运费表!C:C,"重量超限",-1),_xlfn.XLOOKUP(EW20,运费表!A:A,运费表!D:D,"重量超限",-1)))</f>
        <v>52.4</v>
      </c>
      <c r="EQ20" s="182">
        <f t="shared" si="13"/>
        <v>46.095</v>
      </c>
      <c r="ER20" s="158">
        <f>_xlfn.XLOOKUP(K20,[4]目录表!$H:$H,[4]目录表!$X:$X)</f>
        <v>0.18</v>
      </c>
      <c r="ES20" s="158">
        <f>_xlfn.XLOOKUP(K20,[4]目录表!$H:$H,[4]目录表!$Y:$Y)</f>
        <v>12.5</v>
      </c>
      <c r="ET20" s="158">
        <f>_xlfn.XLOOKUP(K20,[4]目录表!$H:$H,[4]目录表!$Z:$Z)</f>
        <v>12.5</v>
      </c>
      <c r="EU20" s="158">
        <f>_xlfn.XLOOKUP(K20,[4]目录表!$H:$H,[4]目录表!$AA:$AA)</f>
        <v>8.5</v>
      </c>
      <c r="EV20" s="158">
        <f t="shared" si="21"/>
        <v>0.265625</v>
      </c>
      <c r="EW20" s="158">
        <f t="shared" si="15"/>
        <v>0.265625</v>
      </c>
      <c r="EX20" s="193">
        <f>_xlfn.XLOOKUP(K20,[2]目录表!$H:$H,[2]目录表!$AB:$AB)</f>
        <v>0.001328125</v>
      </c>
      <c r="EZ20" s="194">
        <f t="shared" si="16"/>
        <v>0.142857142857143</v>
      </c>
      <c r="FK20" s="128" t="str">
        <f>_xlfn.XLOOKUP(K20,[2]目录表!$H:$H,[2]目录表!$AJ:$AJ)</f>
        <v>散货</v>
      </c>
    </row>
    <row r="21" customHeight="1" spans="2:167">
      <c r="B21" s="200" t="s">
        <v>205</v>
      </c>
      <c r="C21" s="158">
        <v>15</v>
      </c>
      <c r="D21" s="158">
        <v>31</v>
      </c>
      <c r="E21" s="181">
        <v>46038</v>
      </c>
      <c r="G21" s="158" t="s">
        <v>189</v>
      </c>
      <c r="H21" s="203" t="s">
        <v>206</v>
      </c>
      <c r="J21" s="201" t="s">
        <v>207</v>
      </c>
      <c r="K21" s="127" t="s">
        <v>208</v>
      </c>
      <c r="L21" s="128">
        <v>4684129758</v>
      </c>
      <c r="M21" s="189" t="s">
        <v>149</v>
      </c>
      <c r="N21" s="131">
        <f>_xlfn.XLOOKUP(L21,数据更新表!J:J,数据更新表!K:K)</f>
        <v>100</v>
      </c>
      <c r="O21" s="131">
        <f>IFERROR(_xlfn.XLOOKUP(K21,数据更新表!A:A,数据更新表!B:B),"0")</f>
        <v>33</v>
      </c>
      <c r="P21" s="131">
        <f>_xlfn.XLOOKUP(K21,[1]库销表!$F:$F,[1]库销表!$L:$L)</f>
        <v>0</v>
      </c>
      <c r="Q21" s="184">
        <f t="shared" si="0"/>
        <v>57.75</v>
      </c>
      <c r="S21" s="128" t="e">
        <f>_xlfn.XLOOKUP(K21,数据更新表!R:R,数据更新表!S:S)</f>
        <v>#N/A</v>
      </c>
      <c r="T21" s="128" t="e">
        <f>_xlfn.XLOOKUP(K21,数据更新表!V:V,数据更新表!W:W)</f>
        <v>#N/A</v>
      </c>
      <c r="V21" s="185">
        <f t="shared" si="1"/>
        <v>57.75</v>
      </c>
      <c r="W21" s="158">
        <f t="shared" si="2"/>
        <v>0.571428571428571</v>
      </c>
      <c r="X21" s="158">
        <f t="shared" si="17"/>
        <v>33</v>
      </c>
      <c r="AF21" s="128">
        <f t="shared" si="3"/>
        <v>50</v>
      </c>
      <c r="AL21" s="131">
        <v>50</v>
      </c>
      <c r="BI21" s="131"/>
      <c r="BS21" s="131">
        <f>_xlfn.XLOOKUP(K21,[1]库销表!$F:$F,[1]库销表!$L:$L)</f>
        <v>0</v>
      </c>
      <c r="BT21" s="131">
        <f t="shared" si="4"/>
        <v>0</v>
      </c>
      <c r="CW21" s="131">
        <f>_xlfn.XLOOKUP(K21,[1]库销表!$F:$F,[1]库销表!$IE:$IE)</f>
        <v>0</v>
      </c>
      <c r="CX21" s="131">
        <f>_xlfn.XLOOKUP(K21,[1]库销表!$F:$F,[1]库销表!$IF:$IF)</f>
        <v>0</v>
      </c>
      <c r="CY21" s="186">
        <f>_xlfn.XLOOKUP(K21,[1]库销表!$F:$F,[1]库销表!$FL:$FL)</f>
        <v>0</v>
      </c>
      <c r="CZ21" s="131">
        <f>_xlfn.XLOOKUP(K21,数据更新表!E:E,数据更新表!F:F,0)</f>
        <v>4</v>
      </c>
      <c r="DA21" s="131">
        <v>5</v>
      </c>
      <c r="DB21" s="131">
        <f>_xlfn.XLOOKUP(K21,数据更新表!E:E,数据更新表!G:G)</f>
        <v>1</v>
      </c>
      <c r="DC21" s="187">
        <f>_xlfn.XLOOKUP(L21,数据更新表!Z:Z,数据更新表!AH:AH)</f>
        <v>4</v>
      </c>
      <c r="DD21" s="131">
        <f>_xlfn.XLOOKUP(L21,数据更新表!Z:Z,数据更新表!AE:AE)</f>
        <v>0</v>
      </c>
      <c r="DE21" s="131">
        <f>_xlfn.XLOOKUP(L21,数据更新表!Z:Z,数据更新表!AF:AF)</f>
        <v>0</v>
      </c>
      <c r="DF21" s="131" t="e">
        <f>_xlfn.XLOOKUP(K21,数据更新表!Z:Z,数据更新表!AG:AG)</f>
        <v>#N/A</v>
      </c>
      <c r="DG21" s="128">
        <f>_xlfn.XLOOKUP(L21,数据更新表!Z:Z,数据更新表!AD:AD)</f>
        <v>77.4</v>
      </c>
      <c r="DH21" s="128">
        <f>_xlfn.XLOOKUP(L21,数据更新表!Z:Z,数据更新表!AA:AA)</f>
        <v>6619</v>
      </c>
      <c r="DI21" s="128">
        <f>_xlfn.XLOOKUP(L21,数据更新表!Z:Z,数据更新表!AB:AB)</f>
        <v>24</v>
      </c>
      <c r="DJ21" s="128" t="str">
        <f>_xlfn.XLOOKUP(L21,数据更新表!Z:Z,数据更新表!AC:AC)</f>
        <v>0.00%</v>
      </c>
      <c r="DK21" s="133" t="str">
        <f>_xlfn.XLOOKUP(L21,数据更新表!Z:Z,数据更新表!AI:AI)</f>
        <v>7.47%</v>
      </c>
      <c r="DL21" s="133" t="str">
        <f>_xlfn.XLOOKUP(L21,数据更新表!AL:AL,数据更新表!AM:AM)</f>
        <v>5.49%</v>
      </c>
      <c r="DM21" s="131">
        <f>_xlfn.XLOOKUP(L21,数据更新表!Z:Z,数据更新表!AJ:AJ)</f>
        <v>0</v>
      </c>
      <c r="DN21" s="187">
        <v>8</v>
      </c>
      <c r="DO21" s="188" t="s">
        <v>111</v>
      </c>
      <c r="DP21" s="187" t="s">
        <v>209</v>
      </c>
      <c r="DQ21" s="134">
        <v>46074</v>
      </c>
      <c r="DU21" s="189" t="s">
        <v>210</v>
      </c>
      <c r="DV21" s="189"/>
      <c r="EA21" s="197"/>
      <c r="EE21" s="158">
        <v>259</v>
      </c>
      <c r="EF21" s="190">
        <f t="shared" si="22"/>
        <v>370</v>
      </c>
      <c r="EG21" s="205">
        <v>27</v>
      </c>
      <c r="EH21" s="191">
        <f t="shared" si="5"/>
        <v>0.540351732261078</v>
      </c>
      <c r="EI21" s="158">
        <f t="shared" si="6"/>
        <v>70.47</v>
      </c>
      <c r="EJ21" s="190">
        <f t="shared" si="7"/>
        <v>47.8944</v>
      </c>
      <c r="EK21" s="191">
        <f t="shared" si="8"/>
        <v>0.184920463320463</v>
      </c>
      <c r="EL21" s="192">
        <f t="shared" si="18"/>
        <v>18.1656</v>
      </c>
      <c r="EM21" s="158" t="str">
        <f t="shared" si="10"/>
        <v>否</v>
      </c>
      <c r="EN21" s="158">
        <f t="shared" si="11"/>
        <v>12.95</v>
      </c>
      <c r="EO21" s="190">
        <f t="shared" si="12"/>
        <v>45.325</v>
      </c>
      <c r="EP21" s="182">
        <f>IF(EE21&lt;299,IF(EE21&lt;99,25,IF(EE21&lt;=149,30,IF(EE21&lt;=299,37,85))),IF(EE21&lt;=498,_xlfn.XLOOKUP(EW21,运费表!A:A,运费表!C:C,"重量超限",-1),_xlfn.XLOOKUP(EW21,运费表!A:A,运费表!D:D,"重量超限",-1)))</f>
        <v>37</v>
      </c>
      <c r="EQ21" s="182">
        <f t="shared" si="13"/>
        <v>27.195</v>
      </c>
      <c r="ER21" s="158">
        <f>_xlfn.XLOOKUP(K21,[4]目录表!$H:$H,[4]目录表!$X:$X)</f>
        <v>0.38</v>
      </c>
      <c r="ES21" s="158">
        <f>_xlfn.XLOOKUP(K21,[4]目录表!$H:$H,[4]目录表!$Y:$Y)</f>
        <v>16</v>
      </c>
      <c r="ET21" s="158">
        <f>_xlfn.XLOOKUP(K21,[4]目录表!$H:$H,[4]目录表!$Z:$Z)</f>
        <v>14.5</v>
      </c>
      <c r="EU21" s="158">
        <f>_xlfn.XLOOKUP(K21,[4]目录表!$H:$H,[4]目录表!$AA:$AA)</f>
        <v>10</v>
      </c>
      <c r="EV21" s="158">
        <f t="shared" si="21"/>
        <v>0.464</v>
      </c>
      <c r="EW21" s="158">
        <f t="shared" si="15"/>
        <v>0.464</v>
      </c>
      <c r="EX21" s="193">
        <f>_xlfn.XLOOKUP(K21,[2]目录表!$H:$H,[2]目录表!$AB:$AB)</f>
        <v>0.00232</v>
      </c>
      <c r="EZ21" s="194">
        <f t="shared" si="16"/>
        <v>0.571428571428571</v>
      </c>
      <c r="FK21" s="128" t="str">
        <f>_xlfn.XLOOKUP(K21,[2]目录表!$H:$H,[2]目录表!$AJ:$AJ)</f>
        <v>散货</v>
      </c>
    </row>
    <row r="22" customHeight="1" spans="2:167">
      <c r="B22" s="200" t="s">
        <v>211</v>
      </c>
      <c r="C22" s="158">
        <v>5</v>
      </c>
      <c r="D22" s="158">
        <v>11</v>
      </c>
      <c r="E22" s="181">
        <v>46040</v>
      </c>
      <c r="G22" s="158" t="s">
        <v>189</v>
      </c>
      <c r="H22" s="203" t="s">
        <v>212</v>
      </c>
      <c r="J22" s="201" t="s">
        <v>213</v>
      </c>
      <c r="K22" s="127" t="s">
        <v>214</v>
      </c>
      <c r="L22" s="128">
        <v>2697065107</v>
      </c>
      <c r="M22" s="189" t="s">
        <v>149</v>
      </c>
      <c r="N22" s="131" t="e">
        <f>_xlfn.XLOOKUP(L22,数据更新表!J:J,数据更新表!K:K)</f>
        <v>#N/A</v>
      </c>
      <c r="O22" s="131">
        <f>IFERROR(_xlfn.XLOOKUP(K22,数据更新表!A:A,数据更新表!B:B),"0")</f>
        <v>0</v>
      </c>
      <c r="P22" s="131">
        <f>_xlfn.XLOOKUP(K22,[1]库销表!$F:$F,[1]库销表!$L:$L)</f>
        <v>0</v>
      </c>
      <c r="Q22" s="184" t="e">
        <f t="shared" si="0"/>
        <v>#DIV/0!</v>
      </c>
      <c r="S22" s="128" t="e">
        <f>_xlfn.XLOOKUP(K22,数据更新表!R:R,数据更新表!S:S)</f>
        <v>#N/A</v>
      </c>
      <c r="T22" s="128" t="e">
        <f>_xlfn.XLOOKUP(K22,数据更新表!V:V,数据更新表!W:W)</f>
        <v>#N/A</v>
      </c>
      <c r="V22" s="185" t="str">
        <f t="shared" si="1"/>
        <v>0</v>
      </c>
      <c r="W22" s="158">
        <f t="shared" si="2"/>
        <v>0</v>
      </c>
      <c r="X22" s="158">
        <f t="shared" si="17"/>
        <v>0</v>
      </c>
      <c r="AF22" s="128">
        <f t="shared" si="3"/>
        <v>20</v>
      </c>
      <c r="AL22" s="131">
        <v>20</v>
      </c>
      <c r="BI22" s="131"/>
      <c r="BS22" s="131">
        <f>_xlfn.XLOOKUP(K22,[1]库销表!$F:$F,[1]库销表!$L:$L)</f>
        <v>0</v>
      </c>
      <c r="BT22" s="131">
        <f t="shared" si="4"/>
        <v>0</v>
      </c>
      <c r="CW22" s="131">
        <f>_xlfn.XLOOKUP(K22,[1]库销表!$F:$F,[1]库销表!$IE:$IE)</f>
        <v>0</v>
      </c>
      <c r="CX22" s="131">
        <f>_xlfn.XLOOKUP(K22,[1]库销表!$F:$F,[1]库销表!$IF:$IF)</f>
        <v>0</v>
      </c>
      <c r="CY22" s="186">
        <f>_xlfn.XLOOKUP(K22,[1]库销表!$F:$F,[1]库销表!$FL:$FL)</f>
        <v>0</v>
      </c>
      <c r="CZ22" s="131">
        <f>_xlfn.XLOOKUP(K22,数据更新表!E:E,数据更新表!F:F,0)</f>
        <v>0</v>
      </c>
      <c r="DA22" s="131">
        <v>8</v>
      </c>
      <c r="DB22" s="131" t="e">
        <f>_xlfn.XLOOKUP(K22,数据更新表!E:E,数据更新表!G:G)</f>
        <v>#N/A</v>
      </c>
      <c r="DC22" s="187" t="e">
        <f>_xlfn.XLOOKUP(L22,数据更新表!Z:Z,数据更新表!AH:AH)</f>
        <v>#N/A</v>
      </c>
      <c r="DD22" s="131" t="e">
        <f>_xlfn.XLOOKUP(L22,数据更新表!Z:Z,数据更新表!AE:AE)</f>
        <v>#N/A</v>
      </c>
      <c r="DE22" s="131" t="e">
        <f>_xlfn.XLOOKUP(L22,数据更新表!Z:Z,数据更新表!AF:AF)</f>
        <v>#N/A</v>
      </c>
      <c r="DF22" s="131" t="e">
        <f>_xlfn.XLOOKUP(K22,数据更新表!Z:Z,数据更新表!AG:AG)</f>
        <v>#N/A</v>
      </c>
      <c r="DG22" s="128" t="e">
        <f>_xlfn.XLOOKUP(L22,数据更新表!Z:Z,数据更新表!AD:AD)</f>
        <v>#N/A</v>
      </c>
      <c r="DH22" s="128" t="e">
        <f>_xlfn.XLOOKUP(L22,数据更新表!Z:Z,数据更新表!AA:AA)</f>
        <v>#N/A</v>
      </c>
      <c r="DI22" s="128" t="e">
        <f>_xlfn.XLOOKUP(L22,数据更新表!Z:Z,数据更新表!AB:AB)</f>
        <v>#N/A</v>
      </c>
      <c r="DJ22" s="128" t="e">
        <f>_xlfn.XLOOKUP(L22,数据更新表!Z:Z,数据更新表!AC:AC)</f>
        <v>#N/A</v>
      </c>
      <c r="DK22" s="133" t="e">
        <f>_xlfn.XLOOKUP(L22,数据更新表!Z:Z,数据更新表!AI:AI)</f>
        <v>#N/A</v>
      </c>
      <c r="DL22" s="133" t="str">
        <f>_xlfn.XLOOKUP(L22,数据更新表!AL:AL,数据更新表!AM:AM)</f>
        <v>5.52%</v>
      </c>
      <c r="DM22" s="131" t="e">
        <f>_xlfn.XLOOKUP(L22,数据更新表!Z:Z,数据更新表!AJ:AJ)</f>
        <v>#N/A</v>
      </c>
      <c r="DN22" s="187">
        <v>10</v>
      </c>
      <c r="DO22" s="188" t="s">
        <v>111</v>
      </c>
      <c r="DP22" s="187" t="s">
        <v>215</v>
      </c>
      <c r="DQ22" s="134">
        <v>46074</v>
      </c>
      <c r="DU22" s="189" t="s">
        <v>216</v>
      </c>
      <c r="DV22" s="189"/>
      <c r="EA22" s="189"/>
      <c r="EB22" s="197"/>
      <c r="EE22" s="158">
        <v>999</v>
      </c>
      <c r="EF22" s="190">
        <f t="shared" si="22"/>
        <v>1427.14285714286</v>
      </c>
      <c r="EG22" s="205">
        <v>165</v>
      </c>
      <c r="EH22" s="191">
        <f t="shared" si="5"/>
        <v>0.335359109620967</v>
      </c>
      <c r="EI22" s="158">
        <f t="shared" si="6"/>
        <v>430.65</v>
      </c>
      <c r="EJ22" s="190">
        <f t="shared" si="7"/>
        <v>150.5144</v>
      </c>
      <c r="EK22" s="191">
        <f t="shared" si="8"/>
        <v>0.150665065065065</v>
      </c>
      <c r="EL22" s="192">
        <f t="shared" si="18"/>
        <v>18.1656</v>
      </c>
      <c r="EM22" s="158" t="str">
        <f t="shared" si="10"/>
        <v>是</v>
      </c>
      <c r="EN22" s="158">
        <f t="shared" si="11"/>
        <v>49.95</v>
      </c>
      <c r="EO22" s="190">
        <f t="shared" si="12"/>
        <v>174.825</v>
      </c>
      <c r="EP22" s="182">
        <f>IF(EE22&lt;299,IF(EE22&lt;99,25,IF(EE22&lt;=149,30,IF(EE22&lt;=299,37,85))),IF(EE22&lt;=498,_xlfn.XLOOKUP(EW22,运费表!A:A,运费表!C:C,"重量超限",-1),_xlfn.XLOOKUP(EW22,运费表!A:A,运费表!D:D,"重量超限",-1)))</f>
        <v>70</v>
      </c>
      <c r="EQ22" s="182">
        <f t="shared" si="13"/>
        <v>104.895</v>
      </c>
      <c r="ER22" s="158">
        <f>_xlfn.XLOOKUP(K22,[4]目录表!$H:$H,[4]目录表!$X:$X)</f>
        <v>0.38</v>
      </c>
      <c r="ES22" s="158">
        <f>_xlfn.XLOOKUP(K22,[4]目录表!$H:$H,[4]目录表!$Y:$Y)</f>
        <v>16</v>
      </c>
      <c r="ET22" s="158">
        <f>_xlfn.XLOOKUP(K22,[4]目录表!$H:$H,[4]目录表!$Z:$Z)</f>
        <v>14.5</v>
      </c>
      <c r="EU22" s="158">
        <f>_xlfn.XLOOKUP(K22,[4]目录表!$H:$H,[4]目录表!$AA:$AA)</f>
        <v>10</v>
      </c>
      <c r="EV22" s="158">
        <f t="shared" si="21"/>
        <v>0.464</v>
      </c>
      <c r="EW22" s="158">
        <f t="shared" si="15"/>
        <v>0.464</v>
      </c>
      <c r="EX22" s="193">
        <f>_xlfn.XLOOKUP(K22,[2]目录表!$H:$H,[2]目录表!$AB:$AB)</f>
        <v>0.00232</v>
      </c>
      <c r="EZ22" s="194">
        <f t="shared" si="16"/>
        <v>0</v>
      </c>
      <c r="FK22" s="128" t="str">
        <f>_xlfn.XLOOKUP(K22,[2]目录表!$H:$H,[2]目录表!$AJ:$AJ)</f>
        <v>散货</v>
      </c>
    </row>
    <row r="23" customHeight="1" spans="2:167">
      <c r="B23" s="200" t="s">
        <v>217</v>
      </c>
      <c r="C23" s="158">
        <v>8</v>
      </c>
      <c r="D23" s="158">
        <v>46</v>
      </c>
      <c r="E23" s="181">
        <v>46040</v>
      </c>
      <c r="G23" s="158" t="s">
        <v>189</v>
      </c>
      <c r="H23" s="203" t="s">
        <v>218</v>
      </c>
      <c r="J23" s="201" t="s">
        <v>219</v>
      </c>
      <c r="K23" s="127" t="s">
        <v>220</v>
      </c>
      <c r="L23" s="128">
        <v>4684057184</v>
      </c>
      <c r="M23" s="189" t="s">
        <v>149</v>
      </c>
      <c r="N23" s="131">
        <f>_xlfn.XLOOKUP(L23,数据更新表!J:J,数据更新表!K:K)</f>
        <v>100</v>
      </c>
      <c r="O23" s="131">
        <f>IFERROR(_xlfn.XLOOKUP(K23,数据更新表!A:A,数据更新表!B:B),"0")</f>
        <v>30</v>
      </c>
      <c r="P23" s="131">
        <f>_xlfn.XLOOKUP(K23,[1]库销表!$F:$F,[1]库销表!$L:$L)</f>
        <v>0</v>
      </c>
      <c r="Q23" s="184">
        <f t="shared" si="0"/>
        <v>42</v>
      </c>
      <c r="S23" s="128" t="e">
        <f>_xlfn.XLOOKUP(K23,数据更新表!R:R,数据更新表!S:S)</f>
        <v>#N/A</v>
      </c>
      <c r="T23" s="128" t="e">
        <f>_xlfn.XLOOKUP(K23,数据更新表!V:V,数据更新表!W:W)</f>
        <v>#N/A</v>
      </c>
      <c r="V23" s="185">
        <f t="shared" si="1"/>
        <v>42</v>
      </c>
      <c r="W23" s="158">
        <f t="shared" si="2"/>
        <v>0.714285714285714</v>
      </c>
      <c r="X23" s="158">
        <f t="shared" si="17"/>
        <v>30</v>
      </c>
      <c r="AF23" s="128">
        <f t="shared" si="3"/>
        <v>50</v>
      </c>
      <c r="AL23" s="131">
        <v>50</v>
      </c>
      <c r="BI23" s="131"/>
      <c r="BS23" s="131">
        <f>_xlfn.XLOOKUP(K23,[1]库销表!$F:$F,[1]库销表!$L:$L)</f>
        <v>0</v>
      </c>
      <c r="BT23" s="131">
        <f t="shared" si="4"/>
        <v>0</v>
      </c>
      <c r="CW23" s="131">
        <f>_xlfn.XLOOKUP(K23,[1]库销表!$F:$F,[1]库销表!$IE:$IE)</f>
        <v>0</v>
      </c>
      <c r="CX23" s="131">
        <f>_xlfn.XLOOKUP(K23,[1]库销表!$F:$F,[1]库销表!$IF:$IF)</f>
        <v>0</v>
      </c>
      <c r="CY23" s="186">
        <f>_xlfn.XLOOKUP(K23,[1]库销表!$F:$F,[1]库销表!$FL:$FL)</f>
        <v>0</v>
      </c>
      <c r="CZ23" s="131">
        <f>_xlfn.XLOOKUP(K23,数据更新表!E:E,数据更新表!F:F,0)</f>
        <v>5</v>
      </c>
      <c r="DA23" s="131">
        <v>4</v>
      </c>
      <c r="DB23" s="131">
        <f>_xlfn.XLOOKUP(K23,数据更新表!E:E,数据更新表!G:G)</f>
        <v>0</v>
      </c>
      <c r="DC23" s="187">
        <f>_xlfn.XLOOKUP(L23,数据更新表!Z:Z,数据更新表!AH:AH)</f>
        <v>4</v>
      </c>
      <c r="DD23" s="131">
        <f>_xlfn.XLOOKUP(L23,数据更新表!Z:Z,数据更新表!AE:AE)</f>
        <v>1</v>
      </c>
      <c r="DE23" s="131">
        <f>_xlfn.XLOOKUP(L23,数据更新表!Z:Z,数据更新表!AF:AF)</f>
        <v>1</v>
      </c>
      <c r="DF23" s="131" t="e">
        <f>_xlfn.XLOOKUP(K23,数据更新表!Z:Z,数据更新表!AG:AG)</f>
        <v>#N/A</v>
      </c>
      <c r="DG23" s="128">
        <f>_xlfn.XLOOKUP(L23,数据更新表!Z:Z,数据更新表!AD:AD)</f>
        <v>16.01</v>
      </c>
      <c r="DH23" s="128">
        <f>_xlfn.XLOOKUP(L23,数据更新表!Z:Z,数据更新表!AA:AA)</f>
        <v>7071</v>
      </c>
      <c r="DI23" s="128">
        <f>_xlfn.XLOOKUP(L23,数据更新表!Z:Z,数据更新表!AB:AB)</f>
        <v>9</v>
      </c>
      <c r="DJ23" s="128" t="str">
        <f>_xlfn.XLOOKUP(L23,数据更新表!Z:Z,数据更新表!AC:AC)</f>
        <v>5.99%</v>
      </c>
      <c r="DK23" s="133" t="str">
        <f>_xlfn.XLOOKUP(L23,数据更新表!Z:Z,数据更新表!AI:AI)</f>
        <v>1.20%</v>
      </c>
      <c r="DL23" s="133" t="str">
        <f>_xlfn.XLOOKUP(L23,数据更新表!AL:AL,数据更新表!AM:AM)</f>
        <v>0.78%</v>
      </c>
      <c r="DM23" s="131">
        <f>_xlfn.XLOOKUP(L23,数据更新表!Z:Z,数据更新表!AJ:AJ)</f>
        <v>16.69</v>
      </c>
      <c r="DN23" s="187">
        <v>8</v>
      </c>
      <c r="DO23" s="188" t="s">
        <v>111</v>
      </c>
      <c r="DP23" s="187" t="s">
        <v>221</v>
      </c>
      <c r="DQ23" s="134">
        <v>46074</v>
      </c>
      <c r="DU23" s="189" t="s">
        <v>222</v>
      </c>
      <c r="DV23" s="189"/>
      <c r="EB23" s="189"/>
      <c r="EE23" s="158">
        <f>_xlfn.XLOOKUP(L23,数据更新表!J:J,数据更新表!L:L)</f>
        <v>267.14</v>
      </c>
      <c r="EF23" s="190">
        <f t="shared" si="22"/>
        <v>381.628571428571</v>
      </c>
      <c r="EG23" s="205">
        <v>27</v>
      </c>
      <c r="EH23" s="191">
        <f t="shared" si="5"/>
        <v>0.601882313652753</v>
      </c>
      <c r="EI23" s="158">
        <f t="shared" si="6"/>
        <v>70.47</v>
      </c>
      <c r="EJ23" s="190">
        <f t="shared" si="7"/>
        <v>53.3482</v>
      </c>
      <c r="EK23" s="191">
        <f t="shared" si="8"/>
        <v>0.199701280227596</v>
      </c>
      <c r="EL23" s="192">
        <f t="shared" si="18"/>
        <v>18.1656</v>
      </c>
      <c r="EM23" s="158" t="str">
        <f t="shared" si="10"/>
        <v>否</v>
      </c>
      <c r="EN23" s="158">
        <f t="shared" si="11"/>
        <v>13.357</v>
      </c>
      <c r="EO23" s="190">
        <f t="shared" si="12"/>
        <v>46.7495</v>
      </c>
      <c r="EP23" s="182">
        <f>IF(EE23&lt;299,IF(EE23&lt;99,25,IF(EE23&lt;=149,30,IF(EE23&lt;=299,37,85))),IF(EE23&lt;=498,_xlfn.XLOOKUP(EW23,运费表!A:A,运费表!C:C,"重量超限",-1),_xlfn.XLOOKUP(EW23,运费表!A:A,运费表!D:D,"重量超限",-1)))</f>
        <v>37</v>
      </c>
      <c r="EQ23" s="182">
        <f t="shared" si="13"/>
        <v>28.0497</v>
      </c>
      <c r="ER23" s="158">
        <f>_xlfn.XLOOKUP(K23,[4]目录表!$H:$H,[4]目录表!$X:$X)</f>
        <v>0.38</v>
      </c>
      <c r="ES23" s="158">
        <f>_xlfn.XLOOKUP(K23,[4]目录表!$H:$H,[4]目录表!$Y:$Y)</f>
        <v>16</v>
      </c>
      <c r="ET23" s="158">
        <f>_xlfn.XLOOKUP(K23,[4]目录表!$H:$H,[4]目录表!$Z:$Z)</f>
        <v>14.5</v>
      </c>
      <c r="EU23" s="158">
        <f>_xlfn.XLOOKUP(K23,[4]目录表!$H:$H,[4]目录表!$AA:$AA)</f>
        <v>10</v>
      </c>
      <c r="EV23" s="158">
        <f t="shared" si="21"/>
        <v>0.464</v>
      </c>
      <c r="EW23" s="158">
        <f t="shared" si="15"/>
        <v>0.464</v>
      </c>
      <c r="EX23" s="193">
        <f>_xlfn.XLOOKUP(K23,[2]目录表!$H:$H,[2]目录表!$AB:$AB)</f>
        <v>0.00232</v>
      </c>
      <c r="EZ23" s="194">
        <f t="shared" si="16"/>
        <v>0.714285714285714</v>
      </c>
      <c r="FK23" s="128" t="str">
        <f>_xlfn.XLOOKUP(K23,[2]目录表!$H:$H,[2]目录表!$AJ:$AJ)</f>
        <v>散货</v>
      </c>
    </row>
    <row r="24" customHeight="1" spans="2:167">
      <c r="B24" s="200" t="s">
        <v>223</v>
      </c>
      <c r="C24" s="158">
        <v>5</v>
      </c>
      <c r="D24" s="158">
        <v>24</v>
      </c>
      <c r="E24" s="181">
        <v>46041</v>
      </c>
      <c r="G24" s="158" t="s">
        <v>189</v>
      </c>
      <c r="H24" s="203" t="s">
        <v>224</v>
      </c>
      <c r="J24" s="201" t="s">
        <v>225</v>
      </c>
      <c r="K24" s="127" t="s">
        <v>226</v>
      </c>
      <c r="L24" s="128">
        <v>2696975635</v>
      </c>
      <c r="M24" s="189" t="s">
        <v>149</v>
      </c>
      <c r="N24" s="131">
        <f>_xlfn.XLOOKUP(L24,数据更新表!J:J,数据更新表!K:K)</f>
        <v>100</v>
      </c>
      <c r="O24" s="131">
        <f>IFERROR(_xlfn.XLOOKUP(K24,数据更新表!A:A,数据更新表!B:B),"0")</f>
        <v>40</v>
      </c>
      <c r="P24" s="131">
        <f>_xlfn.XLOOKUP(K24,[1]库销表!$F:$F,[1]库销表!$L:$L)</f>
        <v>0</v>
      </c>
      <c r="Q24" s="184">
        <f t="shared" si="0"/>
        <v>140</v>
      </c>
      <c r="S24" s="128" t="e">
        <f>_xlfn.XLOOKUP(K24,数据更新表!R:R,数据更新表!S:S)</f>
        <v>#N/A</v>
      </c>
      <c r="T24" s="128" t="e">
        <f>_xlfn.XLOOKUP(K24,数据更新表!V:V,数据更新表!W:W)</f>
        <v>#N/A</v>
      </c>
      <c r="V24" s="185">
        <f t="shared" si="1"/>
        <v>140</v>
      </c>
      <c r="W24" s="158">
        <f t="shared" si="2"/>
        <v>0.285714285714286</v>
      </c>
      <c r="X24" s="158">
        <f t="shared" si="17"/>
        <v>40</v>
      </c>
      <c r="AF24" s="128">
        <f t="shared" si="3"/>
        <v>50</v>
      </c>
      <c r="AL24" s="131">
        <v>50</v>
      </c>
      <c r="BI24" s="131"/>
      <c r="BS24" s="131">
        <f>_xlfn.XLOOKUP(K24,[1]库销表!$F:$F,[1]库销表!$L:$L)</f>
        <v>0</v>
      </c>
      <c r="BT24" s="131">
        <f t="shared" si="4"/>
        <v>0</v>
      </c>
      <c r="CW24" s="131">
        <f>_xlfn.XLOOKUP(K24,[1]库销表!$F:$F,[1]库销表!$IE:$IE)</f>
        <v>0</v>
      </c>
      <c r="CX24" s="131">
        <f>_xlfn.XLOOKUP(K24,[1]库销表!$F:$F,[1]库销表!$IF:$IF)</f>
        <v>0</v>
      </c>
      <c r="CY24" s="186">
        <f>_xlfn.XLOOKUP(K24,[1]库销表!$F:$F,[1]库销表!$FL:$FL)</f>
        <v>0</v>
      </c>
      <c r="CZ24" s="131">
        <f>_xlfn.XLOOKUP(K24,数据更新表!E:E,数据更新表!F:F,0)</f>
        <v>2</v>
      </c>
      <c r="DA24" s="131">
        <v>2</v>
      </c>
      <c r="DB24" s="131">
        <f>_xlfn.XLOOKUP(K24,数据更新表!E:E,数据更新表!G:G)</f>
        <v>0</v>
      </c>
      <c r="DC24" s="187">
        <f>_xlfn.XLOOKUP(L24,数据更新表!Z:Z,数据更新表!AH:AH)</f>
        <v>2</v>
      </c>
      <c r="DD24" s="131">
        <f>_xlfn.XLOOKUP(L24,数据更新表!Z:Z,数据更新表!AE:AE)</f>
        <v>0</v>
      </c>
      <c r="DE24" s="131">
        <f>_xlfn.XLOOKUP(L24,数据更新表!Z:Z,数据更新表!AF:AF)</f>
        <v>0</v>
      </c>
      <c r="DF24" s="131" t="e">
        <f>_xlfn.XLOOKUP(K24,数据更新表!Z:Z,数据更新表!AG:AG)</f>
        <v>#N/A</v>
      </c>
      <c r="DG24" s="128">
        <f>_xlfn.XLOOKUP(L24,数据更新表!Z:Z,数据更新表!AD:AD)</f>
        <v>9.21</v>
      </c>
      <c r="DH24" s="128">
        <f>_xlfn.XLOOKUP(L24,数据更新表!Z:Z,数据更新表!AA:AA)</f>
        <v>5151</v>
      </c>
      <c r="DI24" s="128">
        <f>_xlfn.XLOOKUP(L24,数据更新表!Z:Z,数据更新表!AB:AB)</f>
        <v>4</v>
      </c>
      <c r="DJ24" s="128" t="str">
        <f>_xlfn.XLOOKUP(L24,数据更新表!Z:Z,数据更新表!AC:AC)</f>
        <v>0.00%</v>
      </c>
      <c r="DK24" s="133" t="str">
        <f>_xlfn.XLOOKUP(L24,数据更新表!Z:Z,数据更新表!AI:AI)</f>
        <v>1.96%</v>
      </c>
      <c r="DL24" s="133" t="str">
        <f>_xlfn.XLOOKUP(L24,数据更新表!AL:AL,数据更新表!AM:AM)</f>
        <v>7.90%</v>
      </c>
      <c r="DM24" s="131">
        <f>_xlfn.XLOOKUP(L24,数据更新表!Z:Z,数据更新表!AJ:AJ)</f>
        <v>0</v>
      </c>
      <c r="DN24" s="187">
        <v>10</v>
      </c>
      <c r="DO24" s="188" t="s">
        <v>111</v>
      </c>
      <c r="DP24" s="187" t="s">
        <v>227</v>
      </c>
      <c r="DQ24" s="134">
        <v>46074</v>
      </c>
      <c r="DU24" s="189" t="s">
        <v>228</v>
      </c>
      <c r="DV24" s="189"/>
      <c r="EE24" s="158">
        <f>_xlfn.XLOOKUP(L24,数据更新表!J:J,数据更新表!L:L)</f>
        <v>235.08</v>
      </c>
      <c r="EF24" s="190">
        <f t="shared" si="22"/>
        <v>335.828571428571</v>
      </c>
      <c r="EG24" s="205">
        <v>17</v>
      </c>
      <c r="EH24" s="191">
        <f t="shared" si="5"/>
        <v>0.92696000358196</v>
      </c>
      <c r="EI24" s="158">
        <f t="shared" si="6"/>
        <v>44.37</v>
      </c>
      <c r="EJ24" s="190">
        <f t="shared" si="7"/>
        <v>57.968</v>
      </c>
      <c r="EK24" s="191">
        <f t="shared" si="8"/>
        <v>0.24658839543985</v>
      </c>
      <c r="EL24" s="192">
        <f t="shared" si="18"/>
        <v>18.1656</v>
      </c>
      <c r="EM24" s="158" t="str">
        <f t="shared" si="10"/>
        <v>否</v>
      </c>
      <c r="EN24" s="158">
        <f t="shared" si="11"/>
        <v>11.754</v>
      </c>
      <c r="EO24" s="190">
        <f t="shared" si="12"/>
        <v>41.139</v>
      </c>
      <c r="EP24" s="182">
        <f>IF(EE24&lt;299,IF(EE24&lt;99,25,IF(EE24&lt;=149,30,IF(EE24&lt;=299,37,85))),IF(EE24&lt;=498,_xlfn.XLOOKUP(EW24,运费表!A:A,运费表!C:C,"重量超限",-1),_xlfn.XLOOKUP(EW24,运费表!A:A,运费表!D:D,"重量超限",-1)))</f>
        <v>37</v>
      </c>
      <c r="EQ24" s="182">
        <f t="shared" si="13"/>
        <v>24.6834</v>
      </c>
      <c r="ER24" s="158">
        <f>_xlfn.XLOOKUP(K24,[4]目录表!$H:$H,[4]目录表!$X:$X)</f>
        <v>0.38</v>
      </c>
      <c r="ES24" s="158">
        <f>_xlfn.XLOOKUP(K24,[4]目录表!$H:$H,[4]目录表!$Y:$Y)</f>
        <v>16</v>
      </c>
      <c r="ET24" s="158">
        <f>_xlfn.XLOOKUP(K24,[4]目录表!$H:$H,[4]目录表!$Z:$Z)</f>
        <v>14.5</v>
      </c>
      <c r="EU24" s="158">
        <f>_xlfn.XLOOKUP(K24,[4]目录表!$H:$H,[4]目录表!$AA:$AA)</f>
        <v>10</v>
      </c>
      <c r="EV24" s="158">
        <f t="shared" si="21"/>
        <v>0.464</v>
      </c>
      <c r="EW24" s="158">
        <f t="shared" si="15"/>
        <v>0.464</v>
      </c>
      <c r="EX24" s="193">
        <f>_xlfn.XLOOKUP(K24,[2]目录表!$H:$H,[2]目录表!$AB:$AB)</f>
        <v>0.00232</v>
      </c>
      <c r="EZ24" s="194">
        <f t="shared" si="16"/>
        <v>0.285714285714286</v>
      </c>
      <c r="FK24" s="128" t="str">
        <f>_xlfn.XLOOKUP(K24,[2]目录表!$H:$H,[2]目录表!$AJ:$AJ)</f>
        <v>散货</v>
      </c>
    </row>
    <row r="25" customHeight="1" spans="2:167">
      <c r="B25" s="200" t="s">
        <v>229</v>
      </c>
      <c r="C25" s="158">
        <v>8</v>
      </c>
      <c r="D25" s="158">
        <v>11</v>
      </c>
      <c r="E25" s="181">
        <v>46038</v>
      </c>
      <c r="G25" s="158" t="s">
        <v>189</v>
      </c>
      <c r="H25" s="203" t="s">
        <v>230</v>
      </c>
      <c r="J25" s="127" t="s">
        <v>231</v>
      </c>
      <c r="K25" s="127" t="s">
        <v>232</v>
      </c>
      <c r="L25" s="128">
        <v>2696841915</v>
      </c>
      <c r="M25" s="189" t="s">
        <v>149</v>
      </c>
      <c r="N25" s="131">
        <f>_xlfn.XLOOKUP(L25,数据更新表!J:J,数据更新表!K:K)</f>
        <v>100</v>
      </c>
      <c r="O25" s="131">
        <f>IFERROR(_xlfn.XLOOKUP(K25,数据更新表!A:A,数据更新表!B:B),"0")</f>
        <v>40</v>
      </c>
      <c r="P25" s="131">
        <f>_xlfn.XLOOKUP(K25,[1]库销表!$F:$F,[1]库销表!$L:$L)</f>
        <v>0</v>
      </c>
      <c r="Q25" s="184">
        <f t="shared" si="0"/>
        <v>93.3333333333332</v>
      </c>
      <c r="S25" s="128" t="e">
        <f>_xlfn.XLOOKUP(K25,数据更新表!R:R,数据更新表!S:S)</f>
        <v>#N/A</v>
      </c>
      <c r="T25" s="128" t="e">
        <f>_xlfn.XLOOKUP(K25,数据更新表!V:V,数据更新表!W:W)</f>
        <v>#N/A</v>
      </c>
      <c r="V25" s="185">
        <f t="shared" si="1"/>
        <v>93.3333333333333</v>
      </c>
      <c r="W25" s="158">
        <f t="shared" si="2"/>
        <v>0.428571428571429</v>
      </c>
      <c r="X25" s="158">
        <f t="shared" si="17"/>
        <v>40</v>
      </c>
      <c r="AF25" s="128">
        <f t="shared" si="3"/>
        <v>50</v>
      </c>
      <c r="AL25" s="131">
        <v>50</v>
      </c>
      <c r="BI25" s="131"/>
      <c r="BS25" s="131">
        <f>_xlfn.XLOOKUP(K25,[1]库销表!$F:$F,[1]库销表!$L:$L)</f>
        <v>0</v>
      </c>
      <c r="BT25" s="131">
        <f t="shared" si="4"/>
        <v>0</v>
      </c>
      <c r="CW25" s="131">
        <f>_xlfn.XLOOKUP(K25,[1]库销表!$F:$F,[1]库销表!$IE:$IE)</f>
        <v>0</v>
      </c>
      <c r="CX25" s="131">
        <f>_xlfn.XLOOKUP(K25,[1]库销表!$F:$F,[1]库销表!$IF:$IF)</f>
        <v>0</v>
      </c>
      <c r="CY25" s="186">
        <f>_xlfn.XLOOKUP(K25,[1]库销表!$F:$F,[1]库销表!$FL:$FL)</f>
        <v>0</v>
      </c>
      <c r="CZ25" s="131">
        <f>_xlfn.XLOOKUP(K25,数据更新表!E:E,数据更新表!F:F,0)</f>
        <v>3</v>
      </c>
      <c r="DA25" s="131">
        <v>1</v>
      </c>
      <c r="DB25" s="131">
        <f>_xlfn.XLOOKUP(K25,数据更新表!E:E,数据更新表!G:G)</f>
        <v>0</v>
      </c>
      <c r="DC25" s="187">
        <f>_xlfn.XLOOKUP(L25,数据更新表!Z:Z,数据更新表!AH:AH)</f>
        <v>3</v>
      </c>
      <c r="DD25" s="131">
        <f>_xlfn.XLOOKUP(L25,数据更新表!Z:Z,数据更新表!AE:AE)</f>
        <v>0</v>
      </c>
      <c r="DE25" s="131">
        <f>_xlfn.XLOOKUP(L25,数据更新表!Z:Z,数据更新表!AF:AF)</f>
        <v>0</v>
      </c>
      <c r="DF25" s="131" t="e">
        <f>_xlfn.XLOOKUP(K25,数据更新表!Z:Z,数据更新表!AG:AG)</f>
        <v>#N/A</v>
      </c>
      <c r="DG25" s="128">
        <f>_xlfn.XLOOKUP(L25,数据更新表!Z:Z,数据更新表!AD:AD)</f>
        <v>36.22</v>
      </c>
      <c r="DH25" s="128">
        <f>_xlfn.XLOOKUP(L25,数据更新表!Z:Z,数据更新表!AA:AA)</f>
        <v>4344</v>
      </c>
      <c r="DI25" s="128">
        <f>_xlfn.XLOOKUP(L25,数据更新表!Z:Z,数据更新表!AB:AB)</f>
        <v>9</v>
      </c>
      <c r="DJ25" s="128" t="str">
        <f>_xlfn.XLOOKUP(L25,数据更新表!Z:Z,数据更新表!AC:AC)</f>
        <v>0.00%</v>
      </c>
      <c r="DK25" s="133" t="str">
        <f>_xlfn.XLOOKUP(L25,数据更新表!Z:Z,数据更新表!AI:AI)</f>
        <v>2.83%</v>
      </c>
      <c r="DL25" s="133" t="str">
        <f>_xlfn.XLOOKUP(L25,数据更新表!AL:AL,数据更新表!AM:AM)</f>
        <v>3.99%</v>
      </c>
      <c r="DM25" s="131">
        <f>_xlfn.XLOOKUP(L25,数据更新表!Z:Z,数据更新表!AJ:AJ)</f>
        <v>0</v>
      </c>
      <c r="DN25" s="187">
        <v>8</v>
      </c>
      <c r="DO25" s="188" t="s">
        <v>111</v>
      </c>
      <c r="DP25" s="187" t="s">
        <v>233</v>
      </c>
      <c r="DQ25" s="134">
        <v>46074</v>
      </c>
      <c r="DU25" s="189" t="s">
        <v>234</v>
      </c>
      <c r="DV25" s="189"/>
      <c r="DW25" s="189"/>
      <c r="EA25" s="128" t="s">
        <v>235</v>
      </c>
      <c r="EB25" s="197"/>
      <c r="EE25" s="158">
        <v>399</v>
      </c>
      <c r="EF25" s="190">
        <f t="shared" si="22"/>
        <v>570</v>
      </c>
      <c r="EG25" s="205">
        <v>45</v>
      </c>
      <c r="EH25" s="191">
        <f t="shared" si="5"/>
        <v>0.558301552328788</v>
      </c>
      <c r="EI25" s="158">
        <f t="shared" si="6"/>
        <v>117.45</v>
      </c>
      <c r="EJ25" s="190">
        <f t="shared" si="7"/>
        <v>75.7144</v>
      </c>
      <c r="EK25" s="191">
        <f t="shared" si="8"/>
        <v>0.189760401002506</v>
      </c>
      <c r="EL25" s="192">
        <f t="shared" si="18"/>
        <v>18.1656</v>
      </c>
      <c r="EM25" s="158" t="str">
        <f t="shared" si="10"/>
        <v>是</v>
      </c>
      <c r="EN25" s="158">
        <f t="shared" si="11"/>
        <v>19.95</v>
      </c>
      <c r="EO25" s="190">
        <f t="shared" si="12"/>
        <v>69.825</v>
      </c>
      <c r="EP25" s="182">
        <f>IF(EE25&lt;299,IF(EE25&lt;99,25,IF(EE25&lt;=149,30,IF(EE25&lt;=299,37,85))),IF(EE25&lt;=498,_xlfn.XLOOKUP(EW25,运费表!A:A,运费表!C:C,"重量超限",-1),_xlfn.XLOOKUP(EW25,运费表!A:A,运费表!D:D,"重量超限",-1)))</f>
        <v>56</v>
      </c>
      <c r="EQ25" s="182">
        <f t="shared" si="13"/>
        <v>41.895</v>
      </c>
      <c r="ER25" s="158">
        <f>_xlfn.XLOOKUP(K25,[4]目录表!$H:$H,[4]目录表!$X:$X)</f>
        <v>0.38</v>
      </c>
      <c r="ES25" s="158">
        <f>_xlfn.XLOOKUP(K25,[4]目录表!$H:$H,[4]目录表!$Y:$Y)</f>
        <v>16</v>
      </c>
      <c r="ET25" s="158">
        <f>_xlfn.XLOOKUP(K25,[4]目录表!$H:$H,[4]目录表!$Z:$Z)</f>
        <v>14.5</v>
      </c>
      <c r="EU25" s="158">
        <f>_xlfn.XLOOKUP(K25,[4]目录表!$H:$H,[4]目录表!$AA:$AA)</f>
        <v>10</v>
      </c>
      <c r="EV25" s="158">
        <f t="shared" si="21"/>
        <v>0.464</v>
      </c>
      <c r="EW25" s="158">
        <f t="shared" si="15"/>
        <v>0.464</v>
      </c>
      <c r="EX25" s="193">
        <f>_xlfn.XLOOKUP(K25,[2]目录表!$H:$H,[2]目录表!$AB:$AB)</f>
        <v>0.00232</v>
      </c>
      <c r="EZ25" s="194">
        <f t="shared" si="16"/>
        <v>0.428571428571429</v>
      </c>
      <c r="FK25" s="128" t="str">
        <f>_xlfn.XLOOKUP(K25,[2]目录表!$H:$H,[2]目录表!$AJ:$AJ)</f>
        <v>散货</v>
      </c>
    </row>
    <row r="26" customHeight="1" spans="2:167">
      <c r="B26" s="200" t="s">
        <v>236</v>
      </c>
      <c r="C26" s="158">
        <v>7</v>
      </c>
      <c r="D26" s="158">
        <v>38</v>
      </c>
      <c r="E26" s="181">
        <v>46038</v>
      </c>
      <c r="G26" s="158" t="s">
        <v>189</v>
      </c>
      <c r="H26" s="203" t="s">
        <v>237</v>
      </c>
      <c r="J26" s="127" t="s">
        <v>238</v>
      </c>
      <c r="K26" s="127" t="s">
        <v>239</v>
      </c>
      <c r="L26" s="128">
        <v>4684059764</v>
      </c>
      <c r="M26" s="189" t="s">
        <v>149</v>
      </c>
      <c r="N26" s="131">
        <f>_xlfn.XLOOKUP(L26,数据更新表!J:J,数据更新表!K:K)</f>
        <v>100</v>
      </c>
      <c r="O26" s="131">
        <f>IFERROR(_xlfn.XLOOKUP(K26,数据更新表!A:A,数据更新表!B:B),"0")</f>
        <v>45</v>
      </c>
      <c r="P26" s="131">
        <f>_xlfn.XLOOKUP(K26,[1]库销表!$F:$F,[1]库销表!$L:$L)</f>
        <v>0</v>
      </c>
      <c r="Q26" s="184">
        <f t="shared" si="0"/>
        <v>315</v>
      </c>
      <c r="S26" s="128" t="e">
        <f>_xlfn.XLOOKUP(K26,数据更新表!R:R,数据更新表!S:S)</f>
        <v>#N/A</v>
      </c>
      <c r="T26" s="128" t="e">
        <f>_xlfn.XLOOKUP(K26,数据更新表!V:V,数据更新表!W:W)</f>
        <v>#N/A</v>
      </c>
      <c r="V26" s="185">
        <f t="shared" si="1"/>
        <v>315</v>
      </c>
      <c r="W26" s="158">
        <f t="shared" si="2"/>
        <v>0.142857142857143</v>
      </c>
      <c r="X26" s="158">
        <f t="shared" si="17"/>
        <v>45</v>
      </c>
      <c r="AF26" s="128">
        <f t="shared" si="3"/>
        <v>50</v>
      </c>
      <c r="AL26" s="131">
        <v>50</v>
      </c>
      <c r="BI26" s="131"/>
      <c r="BS26" s="131">
        <f>_xlfn.XLOOKUP(K26,[1]库销表!$F:$F,[1]库销表!$L:$L)</f>
        <v>0</v>
      </c>
      <c r="BT26" s="131">
        <f t="shared" si="4"/>
        <v>0</v>
      </c>
      <c r="CW26" s="131">
        <f>_xlfn.XLOOKUP(K26,[1]库销表!$F:$F,[1]库销表!$IE:$IE)</f>
        <v>0</v>
      </c>
      <c r="CX26" s="131">
        <f>_xlfn.XLOOKUP(K26,[1]库销表!$F:$F,[1]库销表!$IF:$IF)</f>
        <v>0</v>
      </c>
      <c r="CY26" s="186">
        <f>_xlfn.XLOOKUP(K26,[1]库销表!$F:$F,[1]库销表!$FL:$FL)</f>
        <v>0</v>
      </c>
      <c r="CZ26" s="131">
        <f>_xlfn.XLOOKUP(K26,数据更新表!E:E,数据更新表!F:F,0)</f>
        <v>1</v>
      </c>
      <c r="DA26" s="131">
        <v>1</v>
      </c>
      <c r="DB26" s="131">
        <f>_xlfn.XLOOKUP(K26,数据更新表!E:E,数据更新表!G:G)</f>
        <v>0</v>
      </c>
      <c r="DC26" s="187">
        <f>_xlfn.XLOOKUP(L26,数据更新表!Z:Z,数据更新表!AH:AH)</f>
        <v>1</v>
      </c>
      <c r="DD26" s="131">
        <f>_xlfn.XLOOKUP(L26,数据更新表!Z:Z,数据更新表!AE:AE)</f>
        <v>0</v>
      </c>
      <c r="DE26" s="131">
        <f>_xlfn.XLOOKUP(L26,数据更新表!Z:Z,数据更新表!AF:AF)</f>
        <v>0</v>
      </c>
      <c r="DF26" s="131" t="e">
        <f>_xlfn.XLOOKUP(K26,数据更新表!Z:Z,数据更新表!AG:AG)</f>
        <v>#N/A</v>
      </c>
      <c r="DG26" s="128">
        <f>_xlfn.XLOOKUP(L26,数据更新表!Z:Z,数据更新表!AD:AD)</f>
        <v>25.53</v>
      </c>
      <c r="DH26" s="128">
        <f>_xlfn.XLOOKUP(L26,数据更新表!Z:Z,数据更新表!AA:AA)</f>
        <v>4580</v>
      </c>
      <c r="DI26" s="128">
        <f>_xlfn.XLOOKUP(L26,数据更新表!Z:Z,数据更新表!AB:AB)</f>
        <v>13</v>
      </c>
      <c r="DJ26" s="128" t="str">
        <f>_xlfn.XLOOKUP(L26,数据更新表!Z:Z,数据更新表!AC:AC)</f>
        <v>0.00%</v>
      </c>
      <c r="DK26" s="133" t="str">
        <f>_xlfn.XLOOKUP(L26,数据更新表!Z:Z,数据更新表!AI:AI)</f>
        <v>8.57%</v>
      </c>
      <c r="DL26" s="133" t="str">
        <f>_xlfn.XLOOKUP(L26,数据更新表!AL:AL,数据更新表!AM:AM)</f>
        <v>6.53%</v>
      </c>
      <c r="DM26" s="131">
        <f>_xlfn.XLOOKUP(L26,数据更新表!Z:Z,数据更新表!AJ:AJ)</f>
        <v>0</v>
      </c>
      <c r="DN26" s="187">
        <v>8</v>
      </c>
      <c r="DO26" s="188" t="s">
        <v>111</v>
      </c>
      <c r="DP26" s="187" t="s">
        <v>233</v>
      </c>
      <c r="DQ26" s="134">
        <v>46074</v>
      </c>
      <c r="DU26" s="189" t="s">
        <v>240</v>
      </c>
      <c r="DV26" s="189"/>
      <c r="DY26" s="189"/>
      <c r="EB26" s="197"/>
      <c r="EC26" s="128" t="s">
        <v>241</v>
      </c>
      <c r="EE26" s="158">
        <v>298</v>
      </c>
      <c r="EF26" s="190">
        <f t="shared" si="22"/>
        <v>425.714285714286</v>
      </c>
      <c r="EG26" s="205">
        <v>27</v>
      </c>
      <c r="EH26" s="191">
        <f t="shared" si="5"/>
        <v>0.835154272098344</v>
      </c>
      <c r="EI26" s="158">
        <f t="shared" si="6"/>
        <v>70.47</v>
      </c>
      <c r="EJ26" s="190">
        <f t="shared" si="7"/>
        <v>74.0244</v>
      </c>
      <c r="EK26" s="191">
        <f t="shared" si="8"/>
        <v>0.248404026845638</v>
      </c>
      <c r="EL26" s="192">
        <f t="shared" si="18"/>
        <v>18.1656</v>
      </c>
      <c r="EM26" s="158" t="str">
        <f t="shared" si="10"/>
        <v>否</v>
      </c>
      <c r="EN26" s="158">
        <f t="shared" si="11"/>
        <v>14.9</v>
      </c>
      <c r="EO26" s="190">
        <f t="shared" si="12"/>
        <v>52.15</v>
      </c>
      <c r="EP26" s="182">
        <f>IF(EE26&lt;299,IF(EE26&lt;99,25,IF(EE26&lt;=149,30,IF(EE26&lt;=299,37,85))),IF(EE26&lt;=498,_xlfn.XLOOKUP(EW26,运费表!A:A,运费表!C:C,"重量超限",-1),_xlfn.XLOOKUP(EW26,运费表!A:A,运费表!D:D,"重量超限",-1)))</f>
        <v>37</v>
      </c>
      <c r="EQ26" s="182">
        <f t="shared" si="13"/>
        <v>31.29</v>
      </c>
      <c r="ER26" s="158">
        <f>_xlfn.XLOOKUP(K26,[4]目录表!$H:$H,[4]目录表!$X:$X)</f>
        <v>0.38</v>
      </c>
      <c r="ES26" s="158">
        <f>_xlfn.XLOOKUP(K26,[4]目录表!$H:$H,[4]目录表!$Y:$Y)</f>
        <v>16</v>
      </c>
      <c r="ET26" s="158">
        <f>_xlfn.XLOOKUP(K26,[4]目录表!$H:$H,[4]目录表!$Z:$Z)</f>
        <v>14.5</v>
      </c>
      <c r="EU26" s="158">
        <f>_xlfn.XLOOKUP(K26,[4]目录表!$H:$H,[4]目录表!$AA:$AA)</f>
        <v>10</v>
      </c>
      <c r="EV26" s="158">
        <f t="shared" si="21"/>
        <v>0.464</v>
      </c>
      <c r="EW26" s="158">
        <f t="shared" si="15"/>
        <v>0.464</v>
      </c>
      <c r="EX26" s="193">
        <f>_xlfn.XLOOKUP(K26,[2]目录表!$H:$H,[2]目录表!$AB:$AB)</f>
        <v>0.00232</v>
      </c>
      <c r="EZ26" s="194">
        <f t="shared" si="16"/>
        <v>0.142857142857143</v>
      </c>
      <c r="FK26" s="128" t="str">
        <f>_xlfn.XLOOKUP(K26,[2]目录表!$H:$H,[2]目录表!$AJ:$AJ)</f>
        <v>散货</v>
      </c>
    </row>
    <row r="27" customHeight="1" spans="2:167">
      <c r="B27" s="206" t="s">
        <v>242</v>
      </c>
      <c r="C27" s="158">
        <v>7</v>
      </c>
      <c r="D27" s="158">
        <v>24</v>
      </c>
      <c r="E27" s="181">
        <v>46041</v>
      </c>
      <c r="G27" s="158" t="s">
        <v>189</v>
      </c>
      <c r="H27" s="203" t="s">
        <v>243</v>
      </c>
      <c r="J27" s="127" t="s">
        <v>244</v>
      </c>
      <c r="K27" s="127" t="s">
        <v>245</v>
      </c>
      <c r="L27" s="128">
        <v>4687079756</v>
      </c>
      <c r="M27" s="189" t="s">
        <v>149</v>
      </c>
      <c r="N27" s="131">
        <f>_xlfn.XLOOKUP(L27,数据更新表!J:J,数据更新表!K:K)</f>
        <v>100</v>
      </c>
      <c r="O27" s="131">
        <f>IFERROR(_xlfn.XLOOKUP(K27,数据更新表!A:A,数据更新表!B:B),"0")</f>
        <v>47</v>
      </c>
      <c r="P27" s="131">
        <f>_xlfn.XLOOKUP(K27,[1]库销表!$F:$F,[1]库销表!$L:$L)</f>
        <v>0</v>
      </c>
      <c r="Q27" s="184">
        <f t="shared" si="0"/>
        <v>109.666666666667</v>
      </c>
      <c r="S27" s="128" t="e">
        <f>_xlfn.XLOOKUP(K27,数据更新表!R:R,数据更新表!S:S)</f>
        <v>#N/A</v>
      </c>
      <c r="T27" s="128" t="e">
        <f>_xlfn.XLOOKUP(K27,数据更新表!V:V,数据更新表!W:W)</f>
        <v>#N/A</v>
      </c>
      <c r="V27" s="185">
        <f t="shared" si="1"/>
        <v>109.666666666667</v>
      </c>
      <c r="W27" s="158">
        <f t="shared" si="2"/>
        <v>0.428571428571429</v>
      </c>
      <c r="X27" s="158">
        <f t="shared" si="17"/>
        <v>47</v>
      </c>
      <c r="AF27" s="128">
        <f t="shared" si="3"/>
        <v>50</v>
      </c>
      <c r="AL27" s="131">
        <v>50</v>
      </c>
      <c r="BI27" s="131"/>
      <c r="BS27" s="131">
        <f>_xlfn.XLOOKUP(K27,[1]库销表!$F:$F,[1]库销表!$L:$L)</f>
        <v>0</v>
      </c>
      <c r="BT27" s="131">
        <f t="shared" si="4"/>
        <v>0</v>
      </c>
      <c r="CW27" s="131">
        <f>_xlfn.XLOOKUP(K27,[1]库销表!$F:$F,[1]库销表!$IE:$IE)</f>
        <v>0</v>
      </c>
      <c r="CX27" s="131">
        <f>_xlfn.XLOOKUP(K27,[1]库销表!$F:$F,[1]库销表!$IF:$IF)</f>
        <v>0</v>
      </c>
      <c r="CY27" s="186">
        <f>_xlfn.XLOOKUP(K27,[1]库销表!$F:$F,[1]库销表!$FL:$FL)</f>
        <v>0</v>
      </c>
      <c r="CZ27" s="131">
        <f>_xlfn.XLOOKUP(K27,数据更新表!E:E,数据更新表!F:F,0)</f>
        <v>3</v>
      </c>
      <c r="DA27" s="131">
        <v>1</v>
      </c>
      <c r="DB27" s="131">
        <f>_xlfn.XLOOKUP(K27,数据更新表!E:E,数据更新表!G:G)</f>
        <v>0</v>
      </c>
      <c r="DC27" s="187">
        <f>_xlfn.XLOOKUP(L27,数据更新表!Z:Z,数据更新表!AH:AH)</f>
        <v>1</v>
      </c>
      <c r="DD27" s="131">
        <f>_xlfn.XLOOKUP(L27,数据更新表!Z:Z,数据更新表!AE:AE)</f>
        <v>2</v>
      </c>
      <c r="DE27" s="131">
        <f>_xlfn.XLOOKUP(L27,数据更新表!Z:Z,数据更新表!AF:AF)</f>
        <v>2</v>
      </c>
      <c r="DF27" s="131" t="e">
        <f>_xlfn.XLOOKUP(K27,数据更新表!Z:Z,数据更新表!AG:AG)</f>
        <v>#N/A</v>
      </c>
      <c r="DG27" s="128">
        <f>_xlfn.XLOOKUP(L27,数据更新表!Z:Z,数据更新表!AD:AD)</f>
        <v>34.51</v>
      </c>
      <c r="DH27" s="128">
        <f>_xlfn.XLOOKUP(L27,数据更新表!Z:Z,数据更新表!AA:AA)</f>
        <v>1936</v>
      </c>
      <c r="DI27" s="128">
        <f>_xlfn.XLOOKUP(L27,数据更新表!Z:Z,数据更新表!AB:AB)</f>
        <v>8</v>
      </c>
      <c r="DJ27" s="128" t="str">
        <f>_xlfn.XLOOKUP(L27,数据更新表!Z:Z,数据更新表!AC:AC)</f>
        <v>8.26%</v>
      </c>
      <c r="DK27" s="133" t="str">
        <f>_xlfn.XLOOKUP(L27,数据更新表!Z:Z,数据更新表!AI:AI)</f>
        <v>5.50%</v>
      </c>
      <c r="DL27" s="133" t="str">
        <f>_xlfn.XLOOKUP(L27,数据更新表!AL:AL,数据更新表!AM:AM)</f>
        <v>6.03%</v>
      </c>
      <c r="DM27" s="131">
        <f>_xlfn.XLOOKUP(L27,数据更新表!Z:Z,数据更新表!AJ:AJ)</f>
        <v>12.11</v>
      </c>
      <c r="DN27" s="187">
        <v>6.6</v>
      </c>
      <c r="DO27" s="188" t="s">
        <v>111</v>
      </c>
      <c r="DP27" s="187" t="s">
        <v>246</v>
      </c>
      <c r="DQ27" s="134">
        <v>46074</v>
      </c>
      <c r="DU27" s="189" t="s">
        <v>247</v>
      </c>
      <c r="DV27" s="189"/>
      <c r="EB27" s="189"/>
      <c r="EE27" s="158">
        <f>_xlfn.XLOOKUP(L27,数据更新表!J:J,数据更新表!L:L)</f>
        <v>208.97</v>
      </c>
      <c r="EF27" s="190">
        <f t="shared" si="22"/>
        <v>298.528571428571</v>
      </c>
      <c r="EG27" s="205">
        <v>17</v>
      </c>
      <c r="EH27" s="191">
        <f t="shared" si="5"/>
        <v>0.647220143406316</v>
      </c>
      <c r="EI27" s="158">
        <f t="shared" si="6"/>
        <v>44.37</v>
      </c>
      <c r="EJ27" s="190">
        <f t="shared" si="7"/>
        <v>40.4743</v>
      </c>
      <c r="EK27" s="191">
        <f t="shared" si="8"/>
        <v>0.193684739436283</v>
      </c>
      <c r="EL27" s="192">
        <f t="shared" si="18"/>
        <v>18.1656</v>
      </c>
      <c r="EM27" s="158" t="str">
        <f t="shared" si="10"/>
        <v>否</v>
      </c>
      <c r="EN27" s="158">
        <f t="shared" si="11"/>
        <v>10.4485</v>
      </c>
      <c r="EO27" s="190">
        <f t="shared" si="12"/>
        <v>36.56975</v>
      </c>
      <c r="EP27" s="182">
        <f>IF(EE27&lt;299,IF(EE27&lt;99,25,IF(EE27&lt;=149,30,IF(EE27&lt;=299,37,85))),IF(EE27&lt;=498,_xlfn.XLOOKUP(EW27,运费表!A:A,运费表!C:C,"重量超限",-1),_xlfn.XLOOKUP(EW27,运费表!A:A,运费表!D:D,"重量超限",-1)))</f>
        <v>37</v>
      </c>
      <c r="EQ27" s="182">
        <f t="shared" si="13"/>
        <v>21.94185</v>
      </c>
      <c r="ER27" s="158">
        <f>_xlfn.XLOOKUP(K27,[4]目录表!$H:$H,[4]目录表!$X:$X)</f>
        <v>0.38</v>
      </c>
      <c r="ES27" s="158">
        <f>_xlfn.XLOOKUP(K27,[4]目录表!$H:$H,[4]目录表!$Y:$Y)</f>
        <v>16</v>
      </c>
      <c r="ET27" s="158">
        <f>_xlfn.XLOOKUP(K27,[4]目录表!$H:$H,[4]目录表!$Z:$Z)</f>
        <v>14.5</v>
      </c>
      <c r="EU27" s="158">
        <f>_xlfn.XLOOKUP(K27,[4]目录表!$H:$H,[4]目录表!$AA:$AA)</f>
        <v>10</v>
      </c>
      <c r="EV27" s="158">
        <f t="shared" si="21"/>
        <v>0.464</v>
      </c>
      <c r="EW27" s="158">
        <f t="shared" si="15"/>
        <v>0.464</v>
      </c>
      <c r="EX27" s="193">
        <f>_xlfn.XLOOKUP(K27,[2]目录表!$H:$H,[2]目录表!$AB:$AB)</f>
        <v>0.00232</v>
      </c>
      <c r="EZ27" s="194">
        <f t="shared" si="16"/>
        <v>0.428571428571429</v>
      </c>
      <c r="FK27" s="128" t="str">
        <f>_xlfn.XLOOKUP(K27,[2]目录表!$H:$H,[2]目录表!$AJ:$AJ)</f>
        <v>散货</v>
      </c>
    </row>
    <row r="28" customHeight="1" spans="2:167">
      <c r="B28" s="200" t="s">
        <v>248</v>
      </c>
      <c r="C28" s="158">
        <v>7</v>
      </c>
      <c r="D28" s="158">
        <v>17</v>
      </c>
      <c r="E28" s="181">
        <v>46041</v>
      </c>
      <c r="G28" s="158" t="s">
        <v>189</v>
      </c>
      <c r="H28" s="203" t="s">
        <v>249</v>
      </c>
      <c r="J28" s="127" t="s">
        <v>250</v>
      </c>
      <c r="K28" s="127" t="s">
        <v>251</v>
      </c>
      <c r="L28" s="128">
        <v>4687132032</v>
      </c>
      <c r="M28" s="189" t="s">
        <v>149</v>
      </c>
      <c r="N28" s="131">
        <f>_xlfn.XLOOKUP(L28,数据更新表!J:J,数据更新表!K:K)</f>
        <v>100</v>
      </c>
      <c r="O28" s="131">
        <f>IFERROR(_xlfn.XLOOKUP(K28,数据更新表!A:A,数据更新表!B:B),"0")</f>
        <v>42</v>
      </c>
      <c r="P28" s="131">
        <f>_xlfn.XLOOKUP(K28,[1]库销表!$F:$F,[1]库销表!$L:$L)</f>
        <v>0</v>
      </c>
      <c r="Q28" s="184">
        <f t="shared" si="0"/>
        <v>147</v>
      </c>
      <c r="S28" s="128" t="e">
        <f>_xlfn.XLOOKUP(K28,数据更新表!R:R,数据更新表!S:S)</f>
        <v>#N/A</v>
      </c>
      <c r="T28" s="128" t="e">
        <f>_xlfn.XLOOKUP(K28,数据更新表!V:V,数据更新表!W:W)</f>
        <v>#N/A</v>
      </c>
      <c r="V28" s="185">
        <f t="shared" si="1"/>
        <v>147</v>
      </c>
      <c r="W28" s="158">
        <f t="shared" si="2"/>
        <v>0.285714285714286</v>
      </c>
      <c r="X28" s="158">
        <f t="shared" si="17"/>
        <v>42</v>
      </c>
      <c r="AF28" s="128">
        <f t="shared" ref="AF3:AF66" si="23">SUM(AG28:BR28)</f>
        <v>50</v>
      </c>
      <c r="AK28" s="128">
        <v>50</v>
      </c>
      <c r="BI28" s="131"/>
      <c r="BR28" s="131"/>
      <c r="BS28" s="131">
        <f>_xlfn.XLOOKUP(K28,[1]库销表!$F:$F,[1]库销表!$L:$L)</f>
        <v>0</v>
      </c>
      <c r="BT28" s="131">
        <f t="shared" si="4"/>
        <v>0</v>
      </c>
      <c r="CW28" s="131">
        <f>_xlfn.XLOOKUP(K28,[1]库销表!$F:$F,[1]库销表!$IE:$IE)</f>
        <v>0</v>
      </c>
      <c r="CX28" s="131">
        <f>_xlfn.XLOOKUP(K28,[1]库销表!$F:$F,[1]库销表!$IF:$IF)</f>
        <v>0</v>
      </c>
      <c r="CY28" s="186">
        <f>_xlfn.XLOOKUP(K28,[1]库销表!$F:$F,[1]库销表!$FL:$FL)</f>
        <v>0</v>
      </c>
      <c r="CZ28" s="131">
        <f>_xlfn.XLOOKUP(K28,数据更新表!E:E,数据更新表!F:F,0)</f>
        <v>2</v>
      </c>
      <c r="DA28" s="131">
        <v>1</v>
      </c>
      <c r="DB28" s="131">
        <f>_xlfn.XLOOKUP(K28,数据更新表!E:E,数据更新表!G:G)</f>
        <v>2</v>
      </c>
      <c r="DC28" s="187">
        <f>_xlfn.XLOOKUP(L28,数据更新表!Z:Z,数据更新表!AH:AH)</f>
        <v>2</v>
      </c>
      <c r="DD28" s="131">
        <f>_xlfn.XLOOKUP(L28,数据更新表!Z:Z,数据更新表!AE:AE)</f>
        <v>0</v>
      </c>
      <c r="DE28" s="131">
        <f>_xlfn.XLOOKUP(L28,数据更新表!Z:Z,数据更新表!AF:AF)</f>
        <v>0</v>
      </c>
      <c r="DF28" s="131" t="e">
        <f>_xlfn.XLOOKUP(K28,数据更新表!Z:Z,数据更新表!AG:AG)</f>
        <v>#N/A</v>
      </c>
      <c r="DG28" s="128">
        <f>_xlfn.XLOOKUP(L28,数据更新表!Z:Z,数据更新表!AD:AD)</f>
        <v>16.33</v>
      </c>
      <c r="DH28" s="128">
        <f>_xlfn.XLOOKUP(L28,数据更新表!Z:Z,数据更新表!AA:AA)</f>
        <v>3084</v>
      </c>
      <c r="DI28" s="128">
        <f>_xlfn.XLOOKUP(L28,数据更新表!Z:Z,数据更新表!AB:AB)</f>
        <v>6</v>
      </c>
      <c r="DJ28" s="128" t="str">
        <f>_xlfn.XLOOKUP(L28,数据更新表!Z:Z,数据更新表!AC:AC)</f>
        <v>0.00%</v>
      </c>
      <c r="DK28" s="133" t="str">
        <f>_xlfn.XLOOKUP(L28,数据更新表!Z:Z,数据更新表!AI:AI)</f>
        <v>2.92%</v>
      </c>
      <c r="DL28" s="133" t="str">
        <f>_xlfn.XLOOKUP(L28,数据更新表!AL:AL,数据更新表!AM:AM)</f>
        <v>2.04%</v>
      </c>
      <c r="DM28" s="131">
        <f>_xlfn.XLOOKUP(L28,数据更新表!Z:Z,数据更新表!AJ:AJ)</f>
        <v>0</v>
      </c>
      <c r="DN28" s="187">
        <v>10</v>
      </c>
      <c r="DO28" s="188" t="s">
        <v>111</v>
      </c>
      <c r="DP28" s="187" t="s">
        <v>252</v>
      </c>
      <c r="DQ28" s="134">
        <v>46084</v>
      </c>
      <c r="EA28" s="189"/>
      <c r="EC28" s="189"/>
      <c r="ED28" s="189" t="s">
        <v>253</v>
      </c>
      <c r="EE28" s="158">
        <v>280</v>
      </c>
      <c r="EF28" s="190">
        <f t="shared" si="22"/>
        <v>400</v>
      </c>
      <c r="EG28" s="205">
        <v>27</v>
      </c>
      <c r="EH28" s="191">
        <f t="shared" si="5"/>
        <v>0.699091561404221</v>
      </c>
      <c r="EI28" s="158">
        <f t="shared" si="6"/>
        <v>70.47</v>
      </c>
      <c r="EJ28" s="190">
        <f t="shared" si="7"/>
        <v>61.9644</v>
      </c>
      <c r="EK28" s="191">
        <f t="shared" si="8"/>
        <v>0.221301428571429</v>
      </c>
      <c r="EL28" s="192">
        <f t="shared" si="18"/>
        <v>18.1656</v>
      </c>
      <c r="EM28" s="158" t="str">
        <f t="shared" si="10"/>
        <v>否</v>
      </c>
      <c r="EN28" s="158">
        <f t="shared" si="11"/>
        <v>14</v>
      </c>
      <c r="EO28" s="190">
        <f t="shared" si="12"/>
        <v>49</v>
      </c>
      <c r="EP28" s="182">
        <f>IF(EE28&lt;299,IF(EE28&lt;99,25,IF(EE28&lt;=149,30,IF(EE28&lt;=299,37,85))),IF(EE28&lt;=498,_xlfn.XLOOKUP(EW28,运费表!A:A,运费表!C:C,"重量超限",-1),_xlfn.XLOOKUP(EW28,运费表!A:A,运费表!D:D,"重量超限",-1)))</f>
        <v>37</v>
      </c>
      <c r="EQ28" s="182">
        <f t="shared" si="13"/>
        <v>29.4</v>
      </c>
      <c r="ER28" s="158">
        <f>_xlfn.XLOOKUP(K28,[4]目录表!$H:$H,[4]目录表!$X:$X)</f>
        <v>0.38</v>
      </c>
      <c r="ES28" s="158">
        <f>_xlfn.XLOOKUP(K28,[4]目录表!$H:$H,[4]目录表!$Y:$Y)</f>
        <v>16</v>
      </c>
      <c r="ET28" s="158">
        <f>_xlfn.XLOOKUP(K28,[4]目录表!$H:$H,[4]目录表!$Z:$Z)</f>
        <v>14.5</v>
      </c>
      <c r="EU28" s="158">
        <f>_xlfn.XLOOKUP(K28,[4]目录表!$H:$H,[4]目录表!$AA:$AA)</f>
        <v>10</v>
      </c>
      <c r="EV28" s="158">
        <f t="shared" si="21"/>
        <v>0.464</v>
      </c>
      <c r="EW28" s="158">
        <f t="shared" si="15"/>
        <v>0.464</v>
      </c>
      <c r="EX28" s="193">
        <f>_xlfn.XLOOKUP(K28,[2]目录表!$H:$H,[2]目录表!$AB:$AB)</f>
        <v>0.00232</v>
      </c>
      <c r="EZ28" s="194">
        <f t="shared" si="16"/>
        <v>0.285714285714286</v>
      </c>
      <c r="FK28" s="128" t="str">
        <f>_xlfn.XLOOKUP(K28,[2]目录表!$H:$H,[2]目录表!$AJ:$AJ)</f>
        <v>散货</v>
      </c>
    </row>
    <row r="29" customHeight="1" spans="2:167">
      <c r="B29" s="200" t="s">
        <v>254</v>
      </c>
      <c r="C29" s="158">
        <v>28</v>
      </c>
      <c r="D29" s="158">
        <v>69</v>
      </c>
      <c r="E29" s="181">
        <v>46038</v>
      </c>
      <c r="G29" s="158" t="s">
        <v>189</v>
      </c>
      <c r="H29" s="203" t="s">
        <v>255</v>
      </c>
      <c r="J29" s="201" t="s">
        <v>256</v>
      </c>
      <c r="K29" s="142" t="s">
        <v>257</v>
      </c>
      <c r="L29" s="128">
        <v>4687067332</v>
      </c>
      <c r="M29" s="189" t="s">
        <v>149</v>
      </c>
      <c r="N29" s="131">
        <f>_xlfn.XLOOKUP(L29,数据更新表!J:J,数据更新表!K:K)</f>
        <v>100</v>
      </c>
      <c r="O29" s="131">
        <f>IFERROR(_xlfn.XLOOKUP(K29,数据更新表!A:A,数据更新表!B:B),"0")</f>
        <v>42</v>
      </c>
      <c r="P29" s="131">
        <f>_xlfn.XLOOKUP(K29,[1]库销表!$F:$F,[1]库销表!$L:$L)</f>
        <v>0</v>
      </c>
      <c r="Q29" s="184">
        <f t="shared" si="0"/>
        <v>294</v>
      </c>
      <c r="S29" s="128" t="e">
        <f>_xlfn.XLOOKUP(K29,数据更新表!R:R,数据更新表!S:S)</f>
        <v>#N/A</v>
      </c>
      <c r="T29" s="128" t="e">
        <f>_xlfn.XLOOKUP(K29,数据更新表!V:V,数据更新表!W:W)</f>
        <v>#N/A</v>
      </c>
      <c r="V29" s="185">
        <f t="shared" si="1"/>
        <v>294</v>
      </c>
      <c r="W29" s="158">
        <f t="shared" si="2"/>
        <v>0.142857142857143</v>
      </c>
      <c r="X29" s="158">
        <f t="shared" si="17"/>
        <v>42</v>
      </c>
      <c r="AF29" s="128">
        <f t="shared" si="23"/>
        <v>50</v>
      </c>
      <c r="AK29" s="128">
        <v>50</v>
      </c>
      <c r="BI29" s="131"/>
      <c r="BR29" s="131"/>
      <c r="BS29" s="131">
        <f>_xlfn.XLOOKUP(K29,[1]库销表!$F:$F,[1]库销表!$L:$L)</f>
        <v>0</v>
      </c>
      <c r="BT29" s="131">
        <f t="shared" si="4"/>
        <v>0</v>
      </c>
      <c r="CW29" s="131">
        <f>_xlfn.XLOOKUP(K29,[1]库销表!$F:$F,[1]库销表!$IE:$IE)</f>
        <v>0</v>
      </c>
      <c r="CX29" s="131">
        <f>_xlfn.XLOOKUP(K29,[1]库销表!$F:$F,[1]库销表!$IF:$IF)</f>
        <v>0</v>
      </c>
      <c r="CY29" s="186">
        <f>_xlfn.XLOOKUP(K29,[1]库销表!$F:$F,[1]库销表!$FL:$FL)</f>
        <v>0</v>
      </c>
      <c r="CZ29" s="131">
        <f>_xlfn.XLOOKUP(K29,数据更新表!E:E,数据更新表!F:F,0)</f>
        <v>1</v>
      </c>
      <c r="DA29" s="131">
        <v>1</v>
      </c>
      <c r="DB29" s="131">
        <f>_xlfn.XLOOKUP(K29,数据更新表!E:E,数据更新表!G:G)</f>
        <v>0</v>
      </c>
      <c r="DC29" s="187">
        <f>_xlfn.XLOOKUP(L29,数据更新表!Z:Z,数据更新表!AH:AH)</f>
        <v>0</v>
      </c>
      <c r="DD29" s="131">
        <f>_xlfn.XLOOKUP(L29,数据更新表!Z:Z,数据更新表!AE:AE)</f>
        <v>2</v>
      </c>
      <c r="DE29" s="131">
        <f>_xlfn.XLOOKUP(L29,数据更新表!Z:Z,数据更新表!AF:AF)</f>
        <v>1</v>
      </c>
      <c r="DF29" s="131" t="e">
        <f>_xlfn.XLOOKUP(K29,数据更新表!Z:Z,数据更新表!AG:AG)</f>
        <v>#N/A</v>
      </c>
      <c r="DG29" s="128">
        <f>_xlfn.XLOOKUP(L29,数据更新表!Z:Z,数据更新表!AD:AD)</f>
        <v>26.94</v>
      </c>
      <c r="DH29" s="128">
        <f>_xlfn.XLOOKUP(L29,数据更新表!Z:Z,数据更新表!AA:AA)</f>
        <v>7231</v>
      </c>
      <c r="DI29" s="128">
        <f>_xlfn.XLOOKUP(L29,数据更新表!Z:Z,数据更新表!AB:AB)</f>
        <v>8</v>
      </c>
      <c r="DJ29" s="128" t="str">
        <f>_xlfn.XLOOKUP(L29,数据更新表!Z:Z,数据更新表!AC:AC)</f>
        <v>6.37%</v>
      </c>
      <c r="DK29" s="133" t="str">
        <f>_xlfn.XLOOKUP(L29,数据更新表!Z:Z,数据更新表!AI:AI)</f>
        <v>17.27%</v>
      </c>
      <c r="DL29" s="133" t="str">
        <f>_xlfn.XLOOKUP(L29,数据更新表!AL:AL,数据更新表!AM:AM)</f>
        <v>5.76%</v>
      </c>
      <c r="DM29" s="131">
        <f>_xlfn.XLOOKUP(L29,数据更新表!Z:Z,数据更新表!AJ:AJ)</f>
        <v>15.71</v>
      </c>
      <c r="DN29" s="187">
        <v>10</v>
      </c>
      <c r="DO29" s="188" t="s">
        <v>111</v>
      </c>
      <c r="DP29" s="187" t="s">
        <v>252</v>
      </c>
      <c r="DQ29" s="134">
        <v>46084</v>
      </c>
      <c r="DU29" s="189" t="s">
        <v>164</v>
      </c>
      <c r="DV29" s="189"/>
      <c r="EB29" s="189"/>
      <c r="ED29" s="189" t="s">
        <v>258</v>
      </c>
      <c r="EE29" s="158">
        <f>_xlfn.XLOOKUP(L29,数据更新表!J:J,数据更新表!L:L)</f>
        <v>155.98</v>
      </c>
      <c r="EF29" s="190">
        <f t="shared" si="22"/>
        <v>222.828571428571</v>
      </c>
      <c r="EG29" s="205">
        <v>17</v>
      </c>
      <c r="EH29" s="191">
        <f t="shared" si="5"/>
        <v>0.0794907220847005</v>
      </c>
      <c r="EI29" s="158">
        <f t="shared" si="6"/>
        <v>44.37</v>
      </c>
      <c r="EJ29" s="190">
        <f t="shared" si="7"/>
        <v>4.97099999999999</v>
      </c>
      <c r="EK29" s="191">
        <f t="shared" si="8"/>
        <v>0.0318694704449288</v>
      </c>
      <c r="EL29" s="192">
        <f t="shared" si="18"/>
        <v>18.1656</v>
      </c>
      <c r="EM29" s="158" t="str">
        <f t="shared" si="10"/>
        <v>否</v>
      </c>
      <c r="EN29" s="158">
        <f t="shared" si="11"/>
        <v>7.799</v>
      </c>
      <c r="EO29" s="190">
        <f t="shared" si="12"/>
        <v>27.2965</v>
      </c>
      <c r="EP29" s="182">
        <f>IF(EE29&lt;299,IF(EE29&lt;99,25,IF(EE29&lt;=149,30,IF(EE29&lt;=299,37,85))),IF(EE29&lt;=498,_xlfn.XLOOKUP(EW29,运费表!A:A,运费表!C:C,"重量超限",-1),_xlfn.XLOOKUP(EW29,运费表!A:A,运费表!D:D,"重量超限",-1)))</f>
        <v>37</v>
      </c>
      <c r="EQ29" s="182">
        <f t="shared" si="13"/>
        <v>16.3779</v>
      </c>
      <c r="ER29" s="158">
        <f>_xlfn.XLOOKUP(K29,[4]目录表!$H:$H,[4]目录表!$X:$X)</f>
        <v>0.38</v>
      </c>
      <c r="ES29" s="158">
        <f>_xlfn.XLOOKUP(K29,[4]目录表!$H:$H,[4]目录表!$Y:$Y)</f>
        <v>16</v>
      </c>
      <c r="ET29" s="158">
        <f>_xlfn.XLOOKUP(K29,[4]目录表!$H:$H,[4]目录表!$Z:$Z)</f>
        <v>14.5</v>
      </c>
      <c r="EU29" s="158">
        <f>_xlfn.XLOOKUP(K29,[4]目录表!$H:$H,[4]目录表!$AA:$AA)</f>
        <v>10</v>
      </c>
      <c r="EV29" s="158">
        <f t="shared" si="21"/>
        <v>0.464</v>
      </c>
      <c r="EW29" s="158">
        <f t="shared" si="15"/>
        <v>0.464</v>
      </c>
      <c r="EX29" s="193">
        <f>_xlfn.XLOOKUP(K29,[2]目录表!$H:$H,[2]目录表!$AB:$AB)</f>
        <v>0.00232</v>
      </c>
      <c r="EZ29" s="194">
        <f t="shared" si="16"/>
        <v>0.142857142857143</v>
      </c>
      <c r="FK29" s="128" t="str">
        <f>_xlfn.XLOOKUP(K29,[2]目录表!$H:$H,[2]目录表!$AJ:$AJ)</f>
        <v>散货</v>
      </c>
    </row>
    <row r="30" customHeight="1" spans="2:167">
      <c r="B30" s="200" t="s">
        <v>259</v>
      </c>
      <c r="C30" s="158">
        <v>6</v>
      </c>
      <c r="D30" s="158">
        <v>19</v>
      </c>
      <c r="E30" s="181">
        <v>46038</v>
      </c>
      <c r="G30" s="158" t="s">
        <v>189</v>
      </c>
      <c r="H30" s="203" t="s">
        <v>260</v>
      </c>
      <c r="J30" s="127" t="s">
        <v>261</v>
      </c>
      <c r="K30" s="127" t="s">
        <v>262</v>
      </c>
      <c r="L30" s="128">
        <v>4687080914</v>
      </c>
      <c r="M30" s="189" t="s">
        <v>149</v>
      </c>
      <c r="N30" s="131">
        <f>_xlfn.XLOOKUP(L30,数据更新表!J:J,数据更新表!K:K)</f>
        <v>100</v>
      </c>
      <c r="O30" s="131">
        <f>IFERROR(_xlfn.XLOOKUP(K30,数据更新表!A:A,数据更新表!B:B),"0")</f>
        <v>16</v>
      </c>
      <c r="P30" s="131">
        <f>_xlfn.XLOOKUP(K30,[1]库销表!$F:$F,[1]库销表!$L:$L)</f>
        <v>0</v>
      </c>
      <c r="Q30" s="184">
        <f t="shared" si="0"/>
        <v>10.1818181818182</v>
      </c>
      <c r="S30" s="128" t="e">
        <f>_xlfn.XLOOKUP(K30,数据更新表!R:R,数据更新表!S:S)</f>
        <v>#N/A</v>
      </c>
      <c r="T30" s="128" t="e">
        <f>_xlfn.XLOOKUP(K30,数据更新表!V:V,数据更新表!W:W)</f>
        <v>#N/A</v>
      </c>
      <c r="V30" s="185">
        <f t="shared" si="1"/>
        <v>10.1818181818182</v>
      </c>
      <c r="W30" s="158">
        <f t="shared" si="2"/>
        <v>1.57142857142857</v>
      </c>
      <c r="X30" s="158">
        <f t="shared" si="17"/>
        <v>16</v>
      </c>
      <c r="AF30" s="128">
        <f t="shared" si="23"/>
        <v>50</v>
      </c>
      <c r="AK30" s="128">
        <v>50</v>
      </c>
      <c r="BI30" s="131"/>
      <c r="BR30" s="131"/>
      <c r="BS30" s="131">
        <f>_xlfn.XLOOKUP(K30,[1]库销表!$F:$F,[1]库销表!$L:$L)</f>
        <v>0</v>
      </c>
      <c r="BT30" s="131">
        <f t="shared" si="4"/>
        <v>0</v>
      </c>
      <c r="CW30" s="131">
        <f>_xlfn.XLOOKUP(K30,[1]库销表!$F:$F,[1]库销表!$IE:$IE)</f>
        <v>0</v>
      </c>
      <c r="CX30" s="131">
        <f>_xlfn.XLOOKUP(K30,[1]库销表!$F:$F,[1]库销表!$IF:$IF)</f>
        <v>0</v>
      </c>
      <c r="CY30" s="186">
        <f>_xlfn.XLOOKUP(K30,[1]库销表!$F:$F,[1]库销表!$FL:$FL)</f>
        <v>0</v>
      </c>
      <c r="CZ30" s="131">
        <f>_xlfn.XLOOKUP(K30,数据更新表!E:E,数据更新表!F:F,0)</f>
        <v>11</v>
      </c>
      <c r="DA30" s="131">
        <v>8</v>
      </c>
      <c r="DB30" s="131">
        <f>_xlfn.XLOOKUP(K30,数据更新表!E:E,数据更新表!G:G)</f>
        <v>1</v>
      </c>
      <c r="DC30" s="187">
        <f>_xlfn.XLOOKUP(L30,数据更新表!Z:Z,数据更新表!AH:AH)</f>
        <v>6</v>
      </c>
      <c r="DD30" s="131">
        <f>_xlfn.XLOOKUP(L30,数据更新表!Z:Z,数据更新表!AE:AE)</f>
        <v>5</v>
      </c>
      <c r="DE30" s="131">
        <f>_xlfn.XLOOKUP(L30,数据更新表!Z:Z,数据更新表!AF:AF)</f>
        <v>5</v>
      </c>
      <c r="DF30" s="131" t="e">
        <f>_xlfn.XLOOKUP(K30,数据更新表!Z:Z,数据更新表!AG:AG)</f>
        <v>#N/A</v>
      </c>
      <c r="DG30" s="128">
        <f>_xlfn.XLOOKUP(L30,数据更新表!Z:Z,数据更新表!AD:AD)</f>
        <v>129.72</v>
      </c>
      <c r="DH30" s="128">
        <f>_xlfn.XLOOKUP(L30,数据更新表!Z:Z,数据更新表!AA:AA)</f>
        <v>20990</v>
      </c>
      <c r="DI30" s="128">
        <f>_xlfn.XLOOKUP(L30,数据更新表!Z:Z,数据更新表!AB:AB)</f>
        <v>35</v>
      </c>
      <c r="DJ30" s="128" t="str">
        <f>_xlfn.XLOOKUP(L30,数据更新表!Z:Z,数据更新表!AC:AC)</f>
        <v>6.50%</v>
      </c>
      <c r="DK30" s="133" t="str">
        <f>_xlfn.XLOOKUP(L30,数据更新表!Z:Z,数据更新表!AI:AI)</f>
        <v>2.96%</v>
      </c>
      <c r="DL30" s="133" t="str">
        <f>_xlfn.XLOOKUP(L30,数据更新表!AL:AL,数据更新表!AM:AM)</f>
        <v>1.92%</v>
      </c>
      <c r="DM30" s="131">
        <f>_xlfn.XLOOKUP(L30,数据更新表!Z:Z,数据更新表!AJ:AJ)</f>
        <v>15.38</v>
      </c>
      <c r="DN30" s="187">
        <v>15</v>
      </c>
      <c r="DO30" s="188" t="s">
        <v>111</v>
      </c>
      <c r="DP30" s="187" t="s">
        <v>263</v>
      </c>
      <c r="DQ30" s="134">
        <v>46084</v>
      </c>
      <c r="DU30" s="197" t="s">
        <v>264</v>
      </c>
      <c r="DV30" s="197"/>
      <c r="DW30" s="189"/>
      <c r="DX30" s="189"/>
      <c r="DY30" s="189"/>
      <c r="DZ30" s="189"/>
      <c r="EA30" s="128" t="s">
        <v>265</v>
      </c>
      <c r="EB30" s="197" t="s">
        <v>266</v>
      </c>
      <c r="ED30" s="189" t="s">
        <v>267</v>
      </c>
      <c r="EE30" s="158">
        <v>399</v>
      </c>
      <c r="EF30" s="190">
        <f t="shared" si="22"/>
        <v>570</v>
      </c>
      <c r="EG30" s="205">
        <v>33</v>
      </c>
      <c r="EH30" s="191">
        <f t="shared" si="5"/>
        <v>1.02625997645155</v>
      </c>
      <c r="EI30" s="158">
        <f t="shared" si="6"/>
        <v>86.13</v>
      </c>
      <c r="EJ30" s="190">
        <f t="shared" si="7"/>
        <v>107.0344</v>
      </c>
      <c r="EK30" s="191">
        <f t="shared" si="8"/>
        <v>0.26825664160401</v>
      </c>
      <c r="EL30" s="192">
        <f t="shared" si="18"/>
        <v>18.1656</v>
      </c>
      <c r="EM30" s="158" t="str">
        <f t="shared" si="10"/>
        <v>是</v>
      </c>
      <c r="EN30" s="158">
        <f t="shared" si="11"/>
        <v>19.95</v>
      </c>
      <c r="EO30" s="190">
        <f t="shared" si="12"/>
        <v>69.825</v>
      </c>
      <c r="EP30" s="182">
        <f>IF(EE30&lt;299,IF(EE30&lt;99,25,IF(EE30&lt;=149,30,IF(EE30&lt;=299,37,85))),IF(EE30&lt;=498,_xlfn.XLOOKUP(EW30,运费表!A:A,运费表!C:C,"重量超限",-1),_xlfn.XLOOKUP(EW30,运费表!A:A,运费表!D:D,"重量超限",-1)))</f>
        <v>56</v>
      </c>
      <c r="EQ30" s="182">
        <f t="shared" si="13"/>
        <v>41.895</v>
      </c>
      <c r="ER30" s="158">
        <f>_xlfn.XLOOKUP(K30,[4]目录表!$H:$H,[4]目录表!$X:$X)</f>
        <v>0.38</v>
      </c>
      <c r="ES30" s="158">
        <f>_xlfn.XLOOKUP(K30,[4]目录表!$H:$H,[4]目录表!$Y:$Y)</f>
        <v>16</v>
      </c>
      <c r="ET30" s="158">
        <f>_xlfn.XLOOKUP(K30,[4]目录表!$H:$H,[4]目录表!$Z:$Z)</f>
        <v>14.5</v>
      </c>
      <c r="EU30" s="158">
        <f>_xlfn.XLOOKUP(K30,[4]目录表!$H:$H,[4]目录表!$AA:$AA)</f>
        <v>10</v>
      </c>
      <c r="EV30" s="158">
        <f t="shared" si="21"/>
        <v>0.464</v>
      </c>
      <c r="EW30" s="158">
        <f t="shared" si="15"/>
        <v>0.464</v>
      </c>
      <c r="EX30" s="193">
        <f>_xlfn.XLOOKUP(K30,[2]目录表!$H:$H,[2]目录表!$AB:$AB)</f>
        <v>0.00232</v>
      </c>
      <c r="EZ30" s="194">
        <f t="shared" si="16"/>
        <v>1.57142857142857</v>
      </c>
      <c r="FK30" s="128" t="str">
        <f>_xlfn.XLOOKUP(K30,[2]目录表!$H:$H,[2]目录表!$AJ:$AJ)</f>
        <v>散货</v>
      </c>
    </row>
    <row r="31" customHeight="1" spans="2:167">
      <c r="B31" s="200" t="s">
        <v>268</v>
      </c>
      <c r="C31" s="158">
        <v>21</v>
      </c>
      <c r="D31" s="158">
        <v>62</v>
      </c>
      <c r="E31" s="181">
        <v>45944</v>
      </c>
      <c r="G31" s="158" t="s">
        <v>269</v>
      </c>
      <c r="H31" s="203" t="s">
        <v>270</v>
      </c>
      <c r="J31" s="127" t="s">
        <v>271</v>
      </c>
      <c r="K31" s="127" t="s">
        <v>272</v>
      </c>
      <c r="M31" s="189" t="s">
        <v>183</v>
      </c>
      <c r="N31" s="131">
        <f>_xlfn.XLOOKUP(L31,数据更新表!J:J,数据更新表!K:K)</f>
        <v>0</v>
      </c>
      <c r="O31" s="131" t="str">
        <f>IFERROR(_xlfn.XLOOKUP(K31,数据更新表!A:A,数据更新表!B:B),"0")</f>
        <v>0</v>
      </c>
      <c r="P31" s="131">
        <f>_xlfn.XLOOKUP(K31,[1]库销表!$F:$F,[1]库销表!$L:$L)</f>
        <v>0</v>
      </c>
      <c r="Q31" s="184" t="e">
        <f t="shared" si="0"/>
        <v>#DIV/0!</v>
      </c>
      <c r="S31" s="128" t="e">
        <f>_xlfn.XLOOKUP(K31,数据更新表!R:R,数据更新表!S:S)</f>
        <v>#N/A</v>
      </c>
      <c r="T31" s="128" t="e">
        <f>_xlfn.XLOOKUP(K31,数据更新表!V:V,数据更新表!W:W)</f>
        <v>#N/A</v>
      </c>
      <c r="V31" s="185" t="str">
        <f t="shared" si="1"/>
        <v>0</v>
      </c>
      <c r="W31" s="158">
        <f t="shared" si="2"/>
        <v>0</v>
      </c>
      <c r="X31" s="158">
        <f t="shared" si="17"/>
        <v>0</v>
      </c>
      <c r="AF31" s="128">
        <f t="shared" si="23"/>
        <v>0</v>
      </c>
      <c r="BI31" s="131"/>
      <c r="BR31" s="131"/>
      <c r="BS31" s="131">
        <f>_xlfn.XLOOKUP(K31,[1]库销表!$F:$F,[1]库销表!$L:$L)</f>
        <v>0</v>
      </c>
      <c r="BT31" s="131">
        <f t="shared" si="4"/>
        <v>0</v>
      </c>
      <c r="CW31" s="131">
        <f>_xlfn.XLOOKUP(K31,[1]库销表!$F:$F,[1]库销表!$IE:$IE)</f>
        <v>0</v>
      </c>
      <c r="CX31" s="131">
        <f>_xlfn.XLOOKUP(K31,[1]库销表!$F:$F,[1]库销表!$IF:$IF)</f>
        <v>0</v>
      </c>
      <c r="CY31" s="186">
        <f>_xlfn.XLOOKUP(K31,[1]库销表!$F:$F,[1]库销表!$FL:$FL)</f>
        <v>0</v>
      </c>
      <c r="CZ31" s="131">
        <f>_xlfn.XLOOKUP(K31,数据更新表!E:E,数据更新表!F:F,0)</f>
        <v>0</v>
      </c>
      <c r="DA31" s="131">
        <v>0</v>
      </c>
      <c r="DB31" s="131" t="e">
        <f>_xlfn.XLOOKUP(K31,数据更新表!E:E,数据更新表!G:G)</f>
        <v>#N/A</v>
      </c>
      <c r="DC31" s="187">
        <f>_xlfn.XLOOKUP(L31,数据更新表!Z:Z,数据更新表!AH:AH)</f>
        <v>0</v>
      </c>
      <c r="DD31" s="131">
        <f>_xlfn.XLOOKUP(L31,数据更新表!Z:Z,数据更新表!AE:AE)</f>
        <v>0</v>
      </c>
      <c r="DE31" s="131">
        <f>_xlfn.XLOOKUP(L31,数据更新表!Z:Z,数据更新表!AF:AF)</f>
        <v>0</v>
      </c>
      <c r="DF31" s="131" t="e">
        <f>_xlfn.XLOOKUP(K31,数据更新表!Z:Z,数据更新表!AG:AG)</f>
        <v>#N/A</v>
      </c>
      <c r="DG31" s="128">
        <f>_xlfn.XLOOKUP(L31,数据更新表!Z:Z,数据更新表!AD:AD)</f>
        <v>0</v>
      </c>
      <c r="DH31" s="128">
        <f>_xlfn.XLOOKUP(L31,数据更新表!Z:Z,数据更新表!AA:AA)</f>
        <v>0</v>
      </c>
      <c r="DI31" s="128">
        <f>_xlfn.XLOOKUP(L31,数据更新表!Z:Z,数据更新表!AB:AB)</f>
        <v>0</v>
      </c>
      <c r="DJ31" s="128">
        <f>_xlfn.XLOOKUP(L31,数据更新表!Z:Z,数据更新表!AC:AC)</f>
        <v>0</v>
      </c>
      <c r="DK31" s="133">
        <f>_xlfn.XLOOKUP(L31,数据更新表!Z:Z,数据更新表!AI:AI)</f>
        <v>0</v>
      </c>
      <c r="DL31" s="133">
        <f>_xlfn.XLOOKUP(L31,数据更新表!AL:AL,数据更新表!AM:AM)</f>
        <v>0</v>
      </c>
      <c r="DM31" s="131">
        <f>_xlfn.XLOOKUP(L31,数据更新表!Z:Z,数据更新表!AJ:AJ)</f>
        <v>0</v>
      </c>
      <c r="DN31" s="187"/>
      <c r="DO31" s="188"/>
      <c r="EE31" s="158">
        <f>_xlfn.XLOOKUP(L31,数据更新表!J:J,数据更新表!L:L)</f>
        <v>0</v>
      </c>
      <c r="EF31" s="158">
        <f>_xlfn.XLOOKUP(L31,数据更新表!J:J,数据更新表!M:M)</f>
        <v>0</v>
      </c>
      <c r="EG31" s="158">
        <v>140</v>
      </c>
      <c r="EH31" s="191">
        <f t="shared" si="5"/>
        <v>-1.05999488939534</v>
      </c>
      <c r="EI31" s="158">
        <f t="shared" si="6"/>
        <v>365.4</v>
      </c>
      <c r="EJ31" s="190">
        <f t="shared" si="7"/>
        <v>-441.70216</v>
      </c>
      <c r="EK31" s="191" t="e">
        <f t="shared" si="8"/>
        <v>#DIV/0!</v>
      </c>
      <c r="EL31" s="192">
        <f t="shared" si="18"/>
        <v>51.30216</v>
      </c>
      <c r="EM31" s="158" t="str">
        <f t="shared" si="10"/>
        <v>否</v>
      </c>
      <c r="EN31" s="158">
        <f t="shared" si="11"/>
        <v>0</v>
      </c>
      <c r="EO31" s="190">
        <f t="shared" si="12"/>
        <v>0</v>
      </c>
      <c r="EP31" s="182">
        <f>IF(EE31&lt;299,IF(EE31&lt;99,25,IF(EE31&lt;=149,30,IF(EE31&lt;=299,37,85))),IF(EE31&lt;=498,_xlfn.XLOOKUP(EW31,运费表!A:A,运费表!C:C,"重量超限",-1),_xlfn.XLOOKUP(EW31,运费表!A:A,运费表!D:D,"重量超限",-1)))</f>
        <v>25</v>
      </c>
      <c r="EQ31" s="182">
        <f t="shared" si="13"/>
        <v>0</v>
      </c>
      <c r="ER31" s="158">
        <f>_xlfn.XLOOKUP(K31,[4]目录表!$H:$H,[4]目录表!$X:$X)</f>
        <v>3.3</v>
      </c>
      <c r="ES31" s="158">
        <f>_xlfn.XLOOKUP(K31,[4]目录表!$H:$H,[4]目录表!$Y:$Y)</f>
        <v>26</v>
      </c>
      <c r="ET31" s="158">
        <f>_xlfn.XLOOKUP(K31,[4]目录表!$H:$H,[4]目录表!$Z:$Z)</f>
        <v>16.8</v>
      </c>
      <c r="EU31" s="158">
        <f>_xlfn.XLOOKUP(K31,[4]目录表!$H:$H,[4]目录表!$AA:$AA)</f>
        <v>15</v>
      </c>
      <c r="EV31" s="158">
        <f t="shared" si="21"/>
        <v>1.3104</v>
      </c>
      <c r="EW31" s="158">
        <f t="shared" si="15"/>
        <v>3.3</v>
      </c>
      <c r="EX31" s="193">
        <f>_xlfn.XLOOKUP(K31,[2]目录表!$H:$H,[2]目录表!$AB:$AB)</f>
        <v>0.006552</v>
      </c>
      <c r="EZ31" s="194">
        <f t="shared" si="16"/>
        <v>0</v>
      </c>
      <c r="FK31" s="128" t="str">
        <f>_xlfn.XLOOKUP(K31,[2]目录表!$H:$H,[2]目录表!$AJ:$AJ)</f>
        <v>散货</v>
      </c>
    </row>
    <row r="32" customHeight="1" spans="2:167">
      <c r="B32" s="200" t="s">
        <v>273</v>
      </c>
      <c r="C32" s="158">
        <v>2</v>
      </c>
      <c r="D32" s="158">
        <v>58</v>
      </c>
      <c r="E32" s="181">
        <v>45944</v>
      </c>
      <c r="G32" s="158" t="s">
        <v>269</v>
      </c>
      <c r="H32" s="203" t="s">
        <v>274</v>
      </c>
      <c r="J32" s="127" t="s">
        <v>275</v>
      </c>
      <c r="K32" s="127" t="s">
        <v>276</v>
      </c>
      <c r="M32" s="189" t="s">
        <v>183</v>
      </c>
      <c r="N32" s="131">
        <f>_xlfn.XLOOKUP(L32,数据更新表!J:J,数据更新表!K:K)</f>
        <v>0</v>
      </c>
      <c r="O32" s="131" t="str">
        <f>IFERROR(_xlfn.XLOOKUP(K32,数据更新表!A:A,数据更新表!B:B),"0")</f>
        <v>0</v>
      </c>
      <c r="P32" s="131">
        <f>_xlfn.XLOOKUP(K32,[1]库销表!$F:$F,[1]库销表!$L:$L)</f>
        <v>0</v>
      </c>
      <c r="Q32" s="184" t="e">
        <f t="shared" si="0"/>
        <v>#DIV/0!</v>
      </c>
      <c r="S32" s="128" t="e">
        <f>_xlfn.XLOOKUP(K32,数据更新表!R:R,数据更新表!S:S)</f>
        <v>#N/A</v>
      </c>
      <c r="T32" s="128" t="e">
        <f>_xlfn.XLOOKUP(K32,数据更新表!V:V,数据更新表!W:W)</f>
        <v>#N/A</v>
      </c>
      <c r="V32" s="185" t="str">
        <f t="shared" si="1"/>
        <v>0</v>
      </c>
      <c r="W32" s="158">
        <f t="shared" si="2"/>
        <v>0</v>
      </c>
      <c r="X32" s="158">
        <f t="shared" si="17"/>
        <v>0</v>
      </c>
      <c r="AF32" s="128">
        <f t="shared" si="23"/>
        <v>0</v>
      </c>
      <c r="BI32" s="131"/>
      <c r="BR32" s="131"/>
      <c r="BS32" s="131">
        <f>_xlfn.XLOOKUP(K32,[1]库销表!$F:$F,[1]库销表!$L:$L)</f>
        <v>0</v>
      </c>
      <c r="BT32" s="131">
        <f t="shared" si="4"/>
        <v>0</v>
      </c>
      <c r="CW32" s="131">
        <f>_xlfn.XLOOKUP(K32,[1]库销表!$F:$F,[1]库销表!$IE:$IE)</f>
        <v>0</v>
      </c>
      <c r="CX32" s="131">
        <f>_xlfn.XLOOKUP(K32,[1]库销表!$F:$F,[1]库销表!$IF:$IF)</f>
        <v>0</v>
      </c>
      <c r="CY32" s="186">
        <f>_xlfn.XLOOKUP(K32,[1]库销表!$F:$F,[1]库销表!$FL:$FL)</f>
        <v>0</v>
      </c>
      <c r="CZ32" s="131">
        <f>_xlfn.XLOOKUP(K32,数据更新表!E:E,数据更新表!F:F,0)</f>
        <v>0</v>
      </c>
      <c r="DA32" s="131">
        <v>0</v>
      </c>
      <c r="DB32" s="131" t="e">
        <f>_xlfn.XLOOKUP(K32,数据更新表!E:E,数据更新表!G:G)</f>
        <v>#N/A</v>
      </c>
      <c r="DC32" s="187">
        <f>_xlfn.XLOOKUP(L32,数据更新表!Z:Z,数据更新表!AH:AH)</f>
        <v>0</v>
      </c>
      <c r="DD32" s="131">
        <f>_xlfn.XLOOKUP(L32,数据更新表!Z:Z,数据更新表!AE:AE)</f>
        <v>0</v>
      </c>
      <c r="DE32" s="131">
        <f>_xlfn.XLOOKUP(L32,数据更新表!Z:Z,数据更新表!AF:AF)</f>
        <v>0</v>
      </c>
      <c r="DF32" s="131" t="e">
        <f>_xlfn.XLOOKUP(K32,数据更新表!Z:Z,数据更新表!AG:AG)</f>
        <v>#N/A</v>
      </c>
      <c r="DG32" s="128">
        <f>_xlfn.XLOOKUP(L32,数据更新表!Z:Z,数据更新表!AD:AD)</f>
        <v>0</v>
      </c>
      <c r="DH32" s="128">
        <f>_xlfn.XLOOKUP(L32,数据更新表!Z:Z,数据更新表!AA:AA)</f>
        <v>0</v>
      </c>
      <c r="DI32" s="128">
        <f>_xlfn.XLOOKUP(L32,数据更新表!Z:Z,数据更新表!AB:AB)</f>
        <v>0</v>
      </c>
      <c r="DJ32" s="128">
        <f>_xlfn.XLOOKUP(L32,数据更新表!Z:Z,数据更新表!AC:AC)</f>
        <v>0</v>
      </c>
      <c r="DK32" s="133">
        <f>_xlfn.XLOOKUP(L32,数据更新表!Z:Z,数据更新表!AI:AI)</f>
        <v>0</v>
      </c>
      <c r="DL32" s="133">
        <f>_xlfn.XLOOKUP(L32,数据更新表!AL:AL,数据更新表!AM:AM)</f>
        <v>0</v>
      </c>
      <c r="DM32" s="131">
        <f>_xlfn.XLOOKUP(L32,数据更新表!Z:Z,数据更新表!AJ:AJ)</f>
        <v>0</v>
      </c>
      <c r="DN32" s="187"/>
      <c r="DO32" s="188"/>
      <c r="EE32" s="158">
        <f>_xlfn.XLOOKUP(L32,数据更新表!J:J,数据更新表!L:L)</f>
        <v>0</v>
      </c>
      <c r="EF32" s="158">
        <f>_xlfn.XLOOKUP(L32,数据更新表!J:J,数据更新表!M:M)</f>
        <v>0</v>
      </c>
      <c r="EG32" s="158">
        <v>120</v>
      </c>
      <c r="EH32" s="191">
        <f t="shared" si="5"/>
        <v>-1.06858669918444</v>
      </c>
      <c r="EI32" s="158">
        <f t="shared" si="6"/>
        <v>313.2</v>
      </c>
      <c r="EJ32" s="190">
        <f t="shared" si="7"/>
        <v>-389.50216</v>
      </c>
      <c r="EK32" s="191" t="e">
        <f t="shared" si="8"/>
        <v>#DIV/0!</v>
      </c>
      <c r="EL32" s="192">
        <f t="shared" si="18"/>
        <v>51.30216</v>
      </c>
      <c r="EM32" s="158" t="str">
        <f t="shared" si="10"/>
        <v>否</v>
      </c>
      <c r="EN32" s="158">
        <f t="shared" si="11"/>
        <v>0</v>
      </c>
      <c r="EO32" s="190">
        <f t="shared" si="12"/>
        <v>0</v>
      </c>
      <c r="EP32" s="182">
        <f>IF(EE32&lt;299,IF(EE32&lt;99,25,IF(EE32&lt;=149,30,IF(EE32&lt;=299,37,85))),IF(EE32&lt;=498,_xlfn.XLOOKUP(EW32,运费表!A:A,运费表!C:C,"重量超限",-1),_xlfn.XLOOKUP(EW32,运费表!A:A,运费表!D:D,"重量超限",-1)))</f>
        <v>25</v>
      </c>
      <c r="EQ32" s="182">
        <f t="shared" si="13"/>
        <v>0</v>
      </c>
      <c r="ER32" s="158">
        <f>_xlfn.XLOOKUP(K32,[4]目录表!$H:$H,[4]目录表!$X:$X)</f>
        <v>3.3</v>
      </c>
      <c r="ES32" s="158">
        <f>_xlfn.XLOOKUP(K32,[4]目录表!$H:$H,[4]目录表!$Y:$Y)</f>
        <v>26</v>
      </c>
      <c r="ET32" s="158">
        <f>_xlfn.XLOOKUP(K32,[4]目录表!$H:$H,[4]目录表!$Z:$Z)</f>
        <v>16.8</v>
      </c>
      <c r="EU32" s="158">
        <f>_xlfn.XLOOKUP(K32,[4]目录表!$H:$H,[4]目录表!$AA:$AA)</f>
        <v>15</v>
      </c>
      <c r="EV32" s="158">
        <f t="shared" si="21"/>
        <v>1.3104</v>
      </c>
      <c r="EW32" s="158">
        <f t="shared" si="15"/>
        <v>3.3</v>
      </c>
      <c r="EX32" s="193">
        <f>_xlfn.XLOOKUP(K32,[2]目录表!$H:$H,[2]目录表!$AB:$AB)</f>
        <v>0.006552</v>
      </c>
      <c r="EZ32" s="194">
        <f t="shared" si="16"/>
        <v>0</v>
      </c>
      <c r="FK32" s="128" t="str">
        <f>_xlfn.XLOOKUP(K32,[2]目录表!$H:$H,[2]目录表!$AJ:$AJ)</f>
        <v>散货</v>
      </c>
    </row>
    <row r="33" customHeight="1" spans="2:167">
      <c r="B33" s="200" t="s">
        <v>277</v>
      </c>
      <c r="C33" s="158">
        <v>48</v>
      </c>
      <c r="D33" s="158">
        <v>236</v>
      </c>
      <c r="E33" s="181">
        <v>45944</v>
      </c>
      <c r="G33" s="158" t="s">
        <v>269</v>
      </c>
      <c r="H33" s="203" t="s">
        <v>278</v>
      </c>
      <c r="J33" s="127" t="s">
        <v>279</v>
      </c>
      <c r="K33" s="127" t="s">
        <v>280</v>
      </c>
      <c r="M33" s="189" t="s">
        <v>183</v>
      </c>
      <c r="N33" s="131">
        <f>_xlfn.XLOOKUP(L33,数据更新表!J:J,数据更新表!K:K)</f>
        <v>0</v>
      </c>
      <c r="O33" s="131" t="str">
        <f>IFERROR(_xlfn.XLOOKUP(K33,数据更新表!A:A,数据更新表!B:B),"0")</f>
        <v>0</v>
      </c>
      <c r="P33" s="131">
        <f>_xlfn.XLOOKUP(K33,[1]库销表!$F:$F,[1]库销表!$L:$L)</f>
        <v>0</v>
      </c>
      <c r="Q33" s="184" t="e">
        <f t="shared" si="0"/>
        <v>#DIV/0!</v>
      </c>
      <c r="S33" s="128" t="e">
        <f>_xlfn.XLOOKUP(K33,数据更新表!R:R,数据更新表!S:S)</f>
        <v>#N/A</v>
      </c>
      <c r="T33" s="128" t="e">
        <f>_xlfn.XLOOKUP(K33,数据更新表!V:V,数据更新表!W:W)</f>
        <v>#N/A</v>
      </c>
      <c r="V33" s="185" t="str">
        <f t="shared" si="1"/>
        <v>0</v>
      </c>
      <c r="W33" s="158">
        <f t="shared" si="2"/>
        <v>0</v>
      </c>
      <c r="X33" s="158">
        <f t="shared" si="17"/>
        <v>0</v>
      </c>
      <c r="AF33" s="128">
        <f t="shared" si="23"/>
        <v>0</v>
      </c>
      <c r="BI33" s="131"/>
      <c r="BR33" s="131"/>
      <c r="BS33" s="131">
        <f>_xlfn.XLOOKUP(K33,[1]库销表!$F:$F,[1]库销表!$L:$L)</f>
        <v>0</v>
      </c>
      <c r="BT33" s="131">
        <f t="shared" si="4"/>
        <v>0</v>
      </c>
      <c r="CW33" s="131">
        <f>_xlfn.XLOOKUP(K33,[1]库销表!$F:$F,[1]库销表!$IE:$IE)</f>
        <v>0</v>
      </c>
      <c r="CX33" s="131">
        <f>_xlfn.XLOOKUP(K33,[1]库销表!$F:$F,[1]库销表!$IF:$IF)</f>
        <v>0</v>
      </c>
      <c r="CY33" s="186">
        <f>_xlfn.XLOOKUP(K33,[1]库销表!$F:$F,[1]库销表!$FL:$FL)</f>
        <v>0</v>
      </c>
      <c r="CZ33" s="131">
        <f>_xlfn.XLOOKUP(K33,数据更新表!E:E,数据更新表!F:F,0)</f>
        <v>0</v>
      </c>
      <c r="DA33" s="131">
        <v>0</v>
      </c>
      <c r="DB33" s="131" t="e">
        <f>_xlfn.XLOOKUP(K33,数据更新表!E:E,数据更新表!G:G)</f>
        <v>#N/A</v>
      </c>
      <c r="DC33" s="187">
        <f>_xlfn.XLOOKUP(L33,数据更新表!Z:Z,数据更新表!AH:AH)</f>
        <v>0</v>
      </c>
      <c r="DD33" s="131">
        <f>_xlfn.XLOOKUP(L33,数据更新表!Z:Z,数据更新表!AE:AE)</f>
        <v>0</v>
      </c>
      <c r="DE33" s="131">
        <f>_xlfn.XLOOKUP(L33,数据更新表!Z:Z,数据更新表!AF:AF)</f>
        <v>0</v>
      </c>
      <c r="DF33" s="131" t="e">
        <f>_xlfn.XLOOKUP(K33,数据更新表!Z:Z,数据更新表!AG:AG)</f>
        <v>#N/A</v>
      </c>
      <c r="DG33" s="128">
        <f>_xlfn.XLOOKUP(L33,数据更新表!Z:Z,数据更新表!AD:AD)</f>
        <v>0</v>
      </c>
      <c r="DH33" s="128">
        <f>_xlfn.XLOOKUP(L33,数据更新表!Z:Z,数据更新表!AA:AA)</f>
        <v>0</v>
      </c>
      <c r="DI33" s="128">
        <f>_xlfn.XLOOKUP(L33,数据更新表!Z:Z,数据更新表!AB:AB)</f>
        <v>0</v>
      </c>
      <c r="DJ33" s="128">
        <f>_xlfn.XLOOKUP(L33,数据更新表!Z:Z,数据更新表!AC:AC)</f>
        <v>0</v>
      </c>
      <c r="DK33" s="133">
        <f>_xlfn.XLOOKUP(L33,数据更新表!Z:Z,数据更新表!AI:AI)</f>
        <v>0</v>
      </c>
      <c r="DL33" s="133">
        <f>_xlfn.XLOOKUP(L33,数据更新表!AL:AL,数据更新表!AM:AM)</f>
        <v>0</v>
      </c>
      <c r="DM33" s="131">
        <f>_xlfn.XLOOKUP(L33,数据更新表!Z:Z,数据更新表!AJ:AJ)</f>
        <v>0</v>
      </c>
      <c r="DN33" s="187"/>
      <c r="DO33" s="188"/>
      <c r="EE33" s="158">
        <f>_xlfn.XLOOKUP(L33,数据更新表!J:J,数据更新表!L:L)</f>
        <v>0</v>
      </c>
      <c r="EF33" s="158">
        <f>_xlfn.XLOOKUP(L33,数据更新表!J:J,数据更新表!M:M)</f>
        <v>0</v>
      </c>
      <c r="EG33" s="158">
        <v>115</v>
      </c>
      <c r="EH33" s="191">
        <f t="shared" si="5"/>
        <v>-1.07113343676704</v>
      </c>
      <c r="EI33" s="158">
        <f t="shared" si="6"/>
        <v>300.15</v>
      </c>
      <c r="EJ33" s="190">
        <f t="shared" si="7"/>
        <v>-376.45216</v>
      </c>
      <c r="EK33" s="191" t="e">
        <f t="shared" si="8"/>
        <v>#DIV/0!</v>
      </c>
      <c r="EL33" s="192">
        <f t="shared" si="18"/>
        <v>51.30216</v>
      </c>
      <c r="EM33" s="158" t="str">
        <f t="shared" si="10"/>
        <v>否</v>
      </c>
      <c r="EN33" s="158">
        <f t="shared" si="11"/>
        <v>0</v>
      </c>
      <c r="EO33" s="190">
        <f t="shared" si="12"/>
        <v>0</v>
      </c>
      <c r="EP33" s="182">
        <f>IF(EE33&lt;299,IF(EE33&lt;99,25,IF(EE33&lt;=149,30,IF(EE33&lt;=299,37,85))),IF(EE33&lt;=498,_xlfn.XLOOKUP(EW33,运费表!A:A,运费表!C:C,"重量超限",-1),_xlfn.XLOOKUP(EW33,运费表!A:A,运费表!D:D,"重量超限",-1)))</f>
        <v>25</v>
      </c>
      <c r="EQ33" s="182">
        <f t="shared" si="13"/>
        <v>0</v>
      </c>
      <c r="ER33" s="158">
        <f>_xlfn.XLOOKUP(K33,[4]目录表!$H:$H,[4]目录表!$X:$X)</f>
        <v>3.3</v>
      </c>
      <c r="ES33" s="158">
        <f>_xlfn.XLOOKUP(K33,[4]目录表!$H:$H,[4]目录表!$Y:$Y)</f>
        <v>26</v>
      </c>
      <c r="ET33" s="158">
        <f>_xlfn.XLOOKUP(K33,[4]目录表!$H:$H,[4]目录表!$Z:$Z)</f>
        <v>16.8</v>
      </c>
      <c r="EU33" s="158">
        <f>_xlfn.XLOOKUP(K33,[4]目录表!$H:$H,[4]目录表!$AA:$AA)</f>
        <v>15</v>
      </c>
      <c r="EV33" s="158">
        <f t="shared" si="21"/>
        <v>1.3104</v>
      </c>
      <c r="EW33" s="158">
        <f t="shared" si="15"/>
        <v>3.3</v>
      </c>
      <c r="EX33" s="193">
        <f>_xlfn.XLOOKUP(K33,[2]目录表!$H:$H,[2]目录表!$AB:$AB)</f>
        <v>0.006552</v>
      </c>
      <c r="EZ33" s="194">
        <f t="shared" si="16"/>
        <v>0</v>
      </c>
      <c r="FK33" s="128" t="str">
        <f>_xlfn.XLOOKUP(K33,[2]目录表!$H:$H,[2]目录表!$AJ:$AJ)</f>
        <v>散货</v>
      </c>
    </row>
    <row r="34" customHeight="1" spans="2:167">
      <c r="B34" s="200" t="s">
        <v>281</v>
      </c>
      <c r="C34" s="158">
        <v>16</v>
      </c>
      <c r="D34" s="158">
        <v>56</v>
      </c>
      <c r="E34" s="181">
        <v>45944</v>
      </c>
      <c r="G34" s="158" t="s">
        <v>269</v>
      </c>
      <c r="H34" s="203" t="s">
        <v>282</v>
      </c>
      <c r="J34" s="127" t="s">
        <v>283</v>
      </c>
      <c r="K34" s="127" t="s">
        <v>284</v>
      </c>
      <c r="M34" s="189" t="s">
        <v>183</v>
      </c>
      <c r="N34" s="131">
        <f>_xlfn.XLOOKUP(L34,数据更新表!J:J,数据更新表!K:K)</f>
        <v>0</v>
      </c>
      <c r="O34" s="131" t="str">
        <f>IFERROR(_xlfn.XLOOKUP(K34,数据更新表!A:A,数据更新表!B:B),"0")</f>
        <v>0</v>
      </c>
      <c r="P34" s="131">
        <f>_xlfn.XLOOKUP(K34,[1]库销表!$F:$F,[1]库销表!$L:$L)</f>
        <v>0</v>
      </c>
      <c r="Q34" s="184" t="e">
        <f t="shared" si="0"/>
        <v>#DIV/0!</v>
      </c>
      <c r="S34" s="128" t="e">
        <f>_xlfn.XLOOKUP(K34,数据更新表!R:R,数据更新表!S:S)</f>
        <v>#N/A</v>
      </c>
      <c r="T34" s="128" t="e">
        <f>_xlfn.XLOOKUP(K34,数据更新表!V:V,数据更新表!W:W)</f>
        <v>#N/A</v>
      </c>
      <c r="V34" s="185" t="str">
        <f t="shared" si="1"/>
        <v>0</v>
      </c>
      <c r="W34" s="158">
        <f t="shared" si="2"/>
        <v>0</v>
      </c>
      <c r="X34" s="158">
        <f t="shared" si="17"/>
        <v>0</v>
      </c>
      <c r="AF34" s="128">
        <f t="shared" si="23"/>
        <v>0</v>
      </c>
      <c r="BI34" s="131"/>
      <c r="BR34" s="131"/>
      <c r="BS34" s="131">
        <f>_xlfn.XLOOKUP(K34,[1]库销表!$F:$F,[1]库销表!$L:$L)</f>
        <v>0</v>
      </c>
      <c r="BT34" s="131">
        <f t="shared" si="4"/>
        <v>0</v>
      </c>
      <c r="CW34" s="131">
        <f>_xlfn.XLOOKUP(K34,[1]库销表!$F:$F,[1]库销表!$IE:$IE)</f>
        <v>0</v>
      </c>
      <c r="CX34" s="131">
        <f>_xlfn.XLOOKUP(K34,[1]库销表!$F:$F,[1]库销表!$IF:$IF)</f>
        <v>0</v>
      </c>
      <c r="CY34" s="186">
        <f>_xlfn.XLOOKUP(K34,[1]库销表!$F:$F,[1]库销表!$FL:$FL)</f>
        <v>0</v>
      </c>
      <c r="CZ34" s="131">
        <f>_xlfn.XLOOKUP(K34,数据更新表!E:E,数据更新表!F:F,0)</f>
        <v>0</v>
      </c>
      <c r="DA34" s="131">
        <v>0</v>
      </c>
      <c r="DB34" s="131" t="e">
        <f>_xlfn.XLOOKUP(K34,数据更新表!E:E,数据更新表!G:G)</f>
        <v>#N/A</v>
      </c>
      <c r="DC34" s="187">
        <f>_xlfn.XLOOKUP(L34,数据更新表!Z:Z,数据更新表!AH:AH)</f>
        <v>0</v>
      </c>
      <c r="DD34" s="131">
        <f>_xlfn.XLOOKUP(L34,数据更新表!Z:Z,数据更新表!AE:AE)</f>
        <v>0</v>
      </c>
      <c r="DE34" s="131">
        <f>_xlfn.XLOOKUP(L34,数据更新表!Z:Z,数据更新表!AF:AF)</f>
        <v>0</v>
      </c>
      <c r="DF34" s="131" t="e">
        <f>_xlfn.XLOOKUP(K34,数据更新表!Z:Z,数据更新表!AG:AG)</f>
        <v>#N/A</v>
      </c>
      <c r="DG34" s="128">
        <f>_xlfn.XLOOKUP(L34,数据更新表!Z:Z,数据更新表!AD:AD)</f>
        <v>0</v>
      </c>
      <c r="DH34" s="128">
        <f>_xlfn.XLOOKUP(L34,数据更新表!Z:Z,数据更新表!AA:AA)</f>
        <v>0</v>
      </c>
      <c r="DI34" s="128">
        <f>_xlfn.XLOOKUP(L34,数据更新表!Z:Z,数据更新表!AB:AB)</f>
        <v>0</v>
      </c>
      <c r="DJ34" s="128">
        <f>_xlfn.XLOOKUP(L34,数据更新表!Z:Z,数据更新表!AC:AC)</f>
        <v>0</v>
      </c>
      <c r="DK34" s="133">
        <f>_xlfn.XLOOKUP(L34,数据更新表!Z:Z,数据更新表!AI:AI)</f>
        <v>0</v>
      </c>
      <c r="DL34" s="133">
        <f>_xlfn.XLOOKUP(L34,数据更新表!AL:AL,数据更新表!AM:AM)</f>
        <v>0</v>
      </c>
      <c r="DM34" s="131">
        <f>_xlfn.XLOOKUP(L34,数据更新表!Z:Z,数据更新表!AJ:AJ)</f>
        <v>0</v>
      </c>
      <c r="DN34" s="187"/>
      <c r="DO34" s="188"/>
      <c r="EE34" s="158">
        <f>_xlfn.XLOOKUP(L34,数据更新表!J:J,数据更新表!L:L)</f>
        <v>0</v>
      </c>
      <c r="EF34" s="158">
        <f>_xlfn.XLOOKUP(L34,数据更新表!J:J,数据更新表!M:M)</f>
        <v>0</v>
      </c>
      <c r="EG34" s="158">
        <v>125</v>
      </c>
      <c r="EH34" s="191">
        <f t="shared" si="5"/>
        <v>-1.06621601635122</v>
      </c>
      <c r="EI34" s="158">
        <f t="shared" si="6"/>
        <v>326.25</v>
      </c>
      <c r="EJ34" s="190">
        <f t="shared" si="7"/>
        <v>-402.55216</v>
      </c>
      <c r="EK34" s="191" t="e">
        <f t="shared" si="8"/>
        <v>#DIV/0!</v>
      </c>
      <c r="EL34" s="192">
        <f t="shared" si="18"/>
        <v>51.30216</v>
      </c>
      <c r="EM34" s="158" t="str">
        <f t="shared" si="10"/>
        <v>否</v>
      </c>
      <c r="EN34" s="158">
        <f t="shared" si="11"/>
        <v>0</v>
      </c>
      <c r="EO34" s="190">
        <f t="shared" si="12"/>
        <v>0</v>
      </c>
      <c r="EP34" s="182">
        <f>IF(EE34&lt;299,IF(EE34&lt;99,25,IF(EE34&lt;=149,30,IF(EE34&lt;=299,37,85))),IF(EE34&lt;=498,_xlfn.XLOOKUP(EW34,运费表!A:A,运费表!C:C,"重量超限",-1),_xlfn.XLOOKUP(EW34,运费表!A:A,运费表!D:D,"重量超限",-1)))</f>
        <v>25</v>
      </c>
      <c r="EQ34" s="182">
        <f t="shared" si="13"/>
        <v>0</v>
      </c>
      <c r="ER34" s="158">
        <f>_xlfn.XLOOKUP(K34,[4]目录表!$H:$H,[4]目录表!$X:$X)</f>
        <v>3.3</v>
      </c>
      <c r="ES34" s="158">
        <f>_xlfn.XLOOKUP(K34,[4]目录表!$H:$H,[4]目录表!$Y:$Y)</f>
        <v>26</v>
      </c>
      <c r="ET34" s="158">
        <f>_xlfn.XLOOKUP(K34,[4]目录表!$H:$H,[4]目录表!$Z:$Z)</f>
        <v>16.8</v>
      </c>
      <c r="EU34" s="158">
        <f>_xlfn.XLOOKUP(K34,[4]目录表!$H:$H,[4]目录表!$AA:$AA)</f>
        <v>15</v>
      </c>
      <c r="EV34" s="158">
        <f t="shared" si="21"/>
        <v>1.3104</v>
      </c>
      <c r="EW34" s="158">
        <f t="shared" si="15"/>
        <v>3.3</v>
      </c>
      <c r="EX34" s="193">
        <f>_xlfn.XLOOKUP(K34,[2]目录表!$H:$H,[2]目录表!$AB:$AB)</f>
        <v>0.006552</v>
      </c>
      <c r="EZ34" s="194">
        <f t="shared" si="16"/>
        <v>0</v>
      </c>
      <c r="FK34" s="128" t="str">
        <f>_xlfn.XLOOKUP(K34,[2]目录表!$H:$H,[2]目录表!$AJ:$AJ)</f>
        <v>散货</v>
      </c>
    </row>
    <row r="35" customHeight="1" spans="2:167">
      <c r="B35" s="200" t="s">
        <v>285</v>
      </c>
      <c r="C35" s="158">
        <v>18</v>
      </c>
      <c r="D35" s="158">
        <v>84</v>
      </c>
      <c r="E35" s="181">
        <v>45944</v>
      </c>
      <c r="G35" s="158" t="s">
        <v>269</v>
      </c>
      <c r="H35" s="203" t="s">
        <v>286</v>
      </c>
      <c r="J35" s="127" t="s">
        <v>287</v>
      </c>
      <c r="K35" s="127" t="s">
        <v>288</v>
      </c>
      <c r="M35" s="189" t="s">
        <v>183</v>
      </c>
      <c r="N35" s="131">
        <f>_xlfn.XLOOKUP(L35,数据更新表!J:J,数据更新表!K:K)</f>
        <v>0</v>
      </c>
      <c r="O35" s="131" t="str">
        <f>IFERROR(_xlfn.XLOOKUP(K35,数据更新表!A:A,数据更新表!B:B),"0")</f>
        <v>0</v>
      </c>
      <c r="P35" s="131">
        <f>_xlfn.XLOOKUP(K35,[1]库销表!$F:$F,[1]库销表!$L:$L)</f>
        <v>0</v>
      </c>
      <c r="Q35" s="184" t="e">
        <f t="shared" si="0"/>
        <v>#DIV/0!</v>
      </c>
      <c r="S35" s="128" t="e">
        <f>_xlfn.XLOOKUP(K35,数据更新表!R:R,数据更新表!S:S)</f>
        <v>#N/A</v>
      </c>
      <c r="T35" s="128" t="e">
        <f>_xlfn.XLOOKUP(K35,数据更新表!V:V,数据更新表!W:W)</f>
        <v>#N/A</v>
      </c>
      <c r="V35" s="185" t="str">
        <f t="shared" si="1"/>
        <v>0</v>
      </c>
      <c r="W35" s="158">
        <f t="shared" si="2"/>
        <v>0</v>
      </c>
      <c r="X35" s="158">
        <f t="shared" si="17"/>
        <v>0</v>
      </c>
      <c r="AF35" s="128">
        <f t="shared" si="23"/>
        <v>0</v>
      </c>
      <c r="BI35" s="131"/>
      <c r="BR35" s="131"/>
      <c r="BS35" s="131">
        <f>_xlfn.XLOOKUP(K35,[1]库销表!$F:$F,[1]库销表!$L:$L)</f>
        <v>0</v>
      </c>
      <c r="BT35" s="131">
        <f t="shared" si="4"/>
        <v>0</v>
      </c>
      <c r="CW35" s="131">
        <f>_xlfn.XLOOKUP(K35,[1]库销表!$F:$F,[1]库销表!$IE:$IE)</f>
        <v>0</v>
      </c>
      <c r="CX35" s="131">
        <f>_xlfn.XLOOKUP(K35,[1]库销表!$F:$F,[1]库销表!$IF:$IF)</f>
        <v>0</v>
      </c>
      <c r="CY35" s="186">
        <f>_xlfn.XLOOKUP(K35,[1]库销表!$F:$F,[1]库销表!$FL:$FL)</f>
        <v>0</v>
      </c>
      <c r="CZ35" s="131">
        <f>_xlfn.XLOOKUP(K35,数据更新表!E:E,数据更新表!F:F,0)</f>
        <v>0</v>
      </c>
      <c r="DA35" s="131">
        <v>0</v>
      </c>
      <c r="DB35" s="131" t="e">
        <f>_xlfn.XLOOKUP(K35,数据更新表!E:E,数据更新表!G:G)</f>
        <v>#N/A</v>
      </c>
      <c r="DC35" s="187">
        <f>_xlfn.XLOOKUP(L35,数据更新表!Z:Z,数据更新表!AH:AH)</f>
        <v>0</v>
      </c>
      <c r="DD35" s="131">
        <f>_xlfn.XLOOKUP(L35,数据更新表!Z:Z,数据更新表!AE:AE)</f>
        <v>0</v>
      </c>
      <c r="DE35" s="131">
        <f>_xlfn.XLOOKUP(L35,数据更新表!Z:Z,数据更新表!AF:AF)</f>
        <v>0</v>
      </c>
      <c r="DF35" s="131" t="e">
        <f>_xlfn.XLOOKUP(K35,数据更新表!Z:Z,数据更新表!AG:AG)</f>
        <v>#N/A</v>
      </c>
      <c r="DG35" s="128">
        <f>_xlfn.XLOOKUP(L35,数据更新表!Z:Z,数据更新表!AD:AD)</f>
        <v>0</v>
      </c>
      <c r="DH35" s="128">
        <f>_xlfn.XLOOKUP(L35,数据更新表!Z:Z,数据更新表!AA:AA)</f>
        <v>0</v>
      </c>
      <c r="DI35" s="128">
        <f>_xlfn.XLOOKUP(L35,数据更新表!Z:Z,数据更新表!AB:AB)</f>
        <v>0</v>
      </c>
      <c r="DJ35" s="128">
        <f>_xlfn.XLOOKUP(L35,数据更新表!Z:Z,数据更新表!AC:AC)</f>
        <v>0</v>
      </c>
      <c r="DK35" s="133">
        <f>_xlfn.XLOOKUP(L35,数据更新表!Z:Z,数据更新表!AI:AI)</f>
        <v>0</v>
      </c>
      <c r="DL35" s="133">
        <f>_xlfn.XLOOKUP(L35,数据更新表!AL:AL,数据更新表!AM:AM)</f>
        <v>0</v>
      </c>
      <c r="DM35" s="131">
        <f>_xlfn.XLOOKUP(L35,数据更新表!Z:Z,数据更新表!AJ:AJ)</f>
        <v>0</v>
      </c>
      <c r="DN35" s="187"/>
      <c r="DO35" s="188"/>
      <c r="EE35" s="158">
        <f>_xlfn.XLOOKUP(L35,数据更新表!J:J,数据更新表!L:L)</f>
        <v>0</v>
      </c>
      <c r="EF35" s="158">
        <f>_xlfn.XLOOKUP(L35,数据更新表!J:J,数据更新表!M:M)</f>
        <v>0</v>
      </c>
      <c r="EG35" s="158">
        <v>165</v>
      </c>
      <c r="EH35" s="191">
        <f t="shared" si="5"/>
        <v>-1.05187236841101</v>
      </c>
      <c r="EI35" s="158">
        <f t="shared" si="6"/>
        <v>430.65</v>
      </c>
      <c r="EJ35" s="190">
        <f t="shared" si="7"/>
        <v>-506.95216</v>
      </c>
      <c r="EK35" s="191" t="e">
        <f t="shared" si="8"/>
        <v>#DIV/0!</v>
      </c>
      <c r="EL35" s="192">
        <f t="shared" si="18"/>
        <v>51.30216</v>
      </c>
      <c r="EM35" s="158" t="str">
        <f t="shared" si="10"/>
        <v>否</v>
      </c>
      <c r="EN35" s="158">
        <f t="shared" si="11"/>
        <v>0</v>
      </c>
      <c r="EO35" s="190">
        <f t="shared" si="12"/>
        <v>0</v>
      </c>
      <c r="EP35" s="182">
        <f>IF(EE35&lt;299,IF(EE35&lt;99,25,IF(EE35&lt;=149,30,IF(EE35&lt;=299,37,85))),IF(EE35&lt;=498,_xlfn.XLOOKUP(EW35,运费表!A:A,运费表!C:C,"重量超限",-1),_xlfn.XLOOKUP(EW35,运费表!A:A,运费表!D:D,"重量超限",-1)))</f>
        <v>25</v>
      </c>
      <c r="EQ35" s="182">
        <f t="shared" si="13"/>
        <v>0</v>
      </c>
      <c r="ER35" s="158">
        <f>_xlfn.XLOOKUP(K35,[4]目录表!$H:$H,[4]目录表!$X:$X)</f>
        <v>3.3</v>
      </c>
      <c r="ES35" s="158">
        <f>_xlfn.XLOOKUP(K35,[4]目录表!$H:$H,[4]目录表!$Y:$Y)</f>
        <v>26</v>
      </c>
      <c r="ET35" s="158">
        <f>_xlfn.XLOOKUP(K35,[4]目录表!$H:$H,[4]目录表!$Z:$Z)</f>
        <v>16.8</v>
      </c>
      <c r="EU35" s="158">
        <f>_xlfn.XLOOKUP(K35,[4]目录表!$H:$H,[4]目录表!$AA:$AA)</f>
        <v>15</v>
      </c>
      <c r="EV35" s="158">
        <f t="shared" si="21"/>
        <v>1.3104</v>
      </c>
      <c r="EW35" s="158">
        <f t="shared" si="15"/>
        <v>3.3</v>
      </c>
      <c r="EX35" s="193">
        <f>_xlfn.XLOOKUP(K35,[2]目录表!$H:$H,[2]目录表!$AB:$AB)</f>
        <v>0.006552</v>
      </c>
      <c r="EZ35" s="194">
        <f t="shared" si="16"/>
        <v>0</v>
      </c>
      <c r="FK35" s="128" t="str">
        <f>_xlfn.XLOOKUP(K35,[2]目录表!$H:$H,[2]目录表!$AJ:$AJ)</f>
        <v>散货</v>
      </c>
    </row>
    <row r="36" customHeight="1" spans="2:167">
      <c r="B36" s="200" t="s">
        <v>289</v>
      </c>
      <c r="C36" s="158">
        <v>11</v>
      </c>
      <c r="D36" s="158">
        <v>50</v>
      </c>
      <c r="E36" s="181">
        <v>45944</v>
      </c>
      <c r="G36" s="158" t="s">
        <v>269</v>
      </c>
      <c r="H36" s="203" t="s">
        <v>290</v>
      </c>
      <c r="J36" s="127" t="s">
        <v>291</v>
      </c>
      <c r="K36" s="127" t="s">
        <v>292</v>
      </c>
      <c r="M36" s="189" t="s">
        <v>183</v>
      </c>
      <c r="N36" s="131">
        <f>_xlfn.XLOOKUP(L36,数据更新表!J:J,数据更新表!K:K)</f>
        <v>0</v>
      </c>
      <c r="O36" s="131" t="str">
        <f>IFERROR(_xlfn.XLOOKUP(K36,数据更新表!A:A,数据更新表!B:B),"0")</f>
        <v>0</v>
      </c>
      <c r="P36" s="131">
        <f>_xlfn.XLOOKUP(K36,[1]库销表!$F:$F,[1]库销表!$L:$L)</f>
        <v>0</v>
      </c>
      <c r="Q36" s="184" t="e">
        <f t="shared" si="0"/>
        <v>#DIV/0!</v>
      </c>
      <c r="S36" s="128" t="e">
        <f>_xlfn.XLOOKUP(K36,数据更新表!R:R,数据更新表!S:S)</f>
        <v>#N/A</v>
      </c>
      <c r="T36" s="128" t="e">
        <f>_xlfn.XLOOKUP(K36,数据更新表!V:V,数据更新表!W:W)</f>
        <v>#N/A</v>
      </c>
      <c r="V36" s="185" t="str">
        <f t="shared" si="1"/>
        <v>0</v>
      </c>
      <c r="W36" s="158">
        <f t="shared" si="2"/>
        <v>0</v>
      </c>
      <c r="X36" s="158">
        <f t="shared" ref="X36:X67" si="24">O36+P36+SUM(BN36:BR36)</f>
        <v>0</v>
      </c>
      <c r="AF36" s="128">
        <f t="shared" si="23"/>
        <v>0</v>
      </c>
      <c r="BI36" s="131"/>
      <c r="BR36" s="131"/>
      <c r="BS36" s="131">
        <f>_xlfn.XLOOKUP(K36,[1]库销表!$F:$F,[1]库销表!$L:$L)</f>
        <v>0</v>
      </c>
      <c r="BT36" s="131">
        <f t="shared" si="4"/>
        <v>0</v>
      </c>
      <c r="CW36" s="131">
        <f>_xlfn.XLOOKUP(K36,[1]库销表!$F:$F,[1]库销表!$IE:$IE)</f>
        <v>0</v>
      </c>
      <c r="CX36" s="131">
        <f>_xlfn.XLOOKUP(K36,[1]库销表!$F:$F,[1]库销表!$IF:$IF)</f>
        <v>0</v>
      </c>
      <c r="CY36" s="186">
        <f>_xlfn.XLOOKUP(K36,[1]库销表!$F:$F,[1]库销表!$FL:$FL)</f>
        <v>0</v>
      </c>
      <c r="CZ36" s="131">
        <f>_xlfn.XLOOKUP(K36,数据更新表!E:E,数据更新表!F:F,0)</f>
        <v>0</v>
      </c>
      <c r="DA36" s="131">
        <v>0</v>
      </c>
      <c r="DB36" s="131" t="e">
        <f>_xlfn.XLOOKUP(K36,数据更新表!E:E,数据更新表!G:G)</f>
        <v>#N/A</v>
      </c>
      <c r="DC36" s="187">
        <f>_xlfn.XLOOKUP(L36,数据更新表!Z:Z,数据更新表!AH:AH)</f>
        <v>0</v>
      </c>
      <c r="DD36" s="131">
        <f>_xlfn.XLOOKUP(L36,数据更新表!Z:Z,数据更新表!AE:AE)</f>
        <v>0</v>
      </c>
      <c r="DE36" s="131">
        <f>_xlfn.XLOOKUP(L36,数据更新表!Z:Z,数据更新表!AF:AF)</f>
        <v>0</v>
      </c>
      <c r="DF36" s="131" t="e">
        <f>_xlfn.XLOOKUP(K36,数据更新表!Z:Z,数据更新表!AG:AG)</f>
        <v>#N/A</v>
      </c>
      <c r="DG36" s="128">
        <f>_xlfn.XLOOKUP(L36,数据更新表!Z:Z,数据更新表!AD:AD)</f>
        <v>0</v>
      </c>
      <c r="DH36" s="128">
        <f>_xlfn.XLOOKUP(L36,数据更新表!Z:Z,数据更新表!AA:AA)</f>
        <v>0</v>
      </c>
      <c r="DI36" s="128">
        <f>_xlfn.XLOOKUP(L36,数据更新表!Z:Z,数据更新表!AB:AB)</f>
        <v>0</v>
      </c>
      <c r="DJ36" s="128">
        <f>_xlfn.XLOOKUP(L36,数据更新表!Z:Z,数据更新表!AC:AC)</f>
        <v>0</v>
      </c>
      <c r="DK36" s="133">
        <f>_xlfn.XLOOKUP(L36,数据更新表!Z:Z,数据更新表!AI:AI)</f>
        <v>0</v>
      </c>
      <c r="DL36" s="133">
        <f>_xlfn.XLOOKUP(L36,数据更新表!AL:AL,数据更新表!AM:AM)</f>
        <v>0</v>
      </c>
      <c r="DM36" s="131">
        <f>_xlfn.XLOOKUP(L36,数据更新表!Z:Z,数据更新表!AJ:AJ)</f>
        <v>0</v>
      </c>
      <c r="DN36" s="187"/>
      <c r="DO36" s="188"/>
      <c r="EE36" s="158">
        <f>_xlfn.XLOOKUP(L36,数据更新表!J:J,数据更新表!L:L)</f>
        <v>0</v>
      </c>
      <c r="EF36" s="158">
        <f>_xlfn.XLOOKUP(L36,数据更新表!J:J,数据更新表!M:M)</f>
        <v>0</v>
      </c>
      <c r="EG36" s="158">
        <v>140</v>
      </c>
      <c r="EH36" s="191">
        <f t="shared" si="5"/>
        <v>-1.05999488939534</v>
      </c>
      <c r="EI36" s="158">
        <f t="shared" si="6"/>
        <v>365.4</v>
      </c>
      <c r="EJ36" s="190">
        <f t="shared" si="7"/>
        <v>-441.70216</v>
      </c>
      <c r="EK36" s="191" t="e">
        <f t="shared" si="8"/>
        <v>#DIV/0!</v>
      </c>
      <c r="EL36" s="192">
        <f t="shared" si="18"/>
        <v>51.30216</v>
      </c>
      <c r="EM36" s="158" t="str">
        <f t="shared" si="10"/>
        <v>否</v>
      </c>
      <c r="EN36" s="158">
        <f t="shared" si="11"/>
        <v>0</v>
      </c>
      <c r="EO36" s="190">
        <f t="shared" si="12"/>
        <v>0</v>
      </c>
      <c r="EP36" s="182">
        <f>IF(EE36&lt;299,IF(EE36&lt;99,25,IF(EE36&lt;=149,30,IF(EE36&lt;=299,37,85))),IF(EE36&lt;=498,_xlfn.XLOOKUP(EW36,运费表!A:A,运费表!C:C,"重量超限",-1),_xlfn.XLOOKUP(EW36,运费表!A:A,运费表!D:D,"重量超限",-1)))</f>
        <v>25</v>
      </c>
      <c r="EQ36" s="182">
        <f t="shared" si="13"/>
        <v>0</v>
      </c>
      <c r="ER36" s="158">
        <f>_xlfn.XLOOKUP(K36,[4]目录表!$H:$H,[4]目录表!$X:$X)</f>
        <v>3.3</v>
      </c>
      <c r="ES36" s="158">
        <f>_xlfn.XLOOKUP(K36,[4]目录表!$H:$H,[4]目录表!$Y:$Y)</f>
        <v>26</v>
      </c>
      <c r="ET36" s="158">
        <f>_xlfn.XLOOKUP(K36,[4]目录表!$H:$H,[4]目录表!$Z:$Z)</f>
        <v>16.8</v>
      </c>
      <c r="EU36" s="158">
        <f>_xlfn.XLOOKUP(K36,[4]目录表!$H:$H,[4]目录表!$AA:$AA)</f>
        <v>15</v>
      </c>
      <c r="EV36" s="158">
        <f t="shared" si="21"/>
        <v>1.3104</v>
      </c>
      <c r="EW36" s="158">
        <f t="shared" si="15"/>
        <v>3.3</v>
      </c>
      <c r="EX36" s="193">
        <f>_xlfn.XLOOKUP(K36,[2]目录表!$H:$H,[2]目录表!$AB:$AB)</f>
        <v>0.006552</v>
      </c>
      <c r="EZ36" s="194">
        <f t="shared" ref="EZ36:EZ67" si="25">CZ36/7</f>
        <v>0</v>
      </c>
      <c r="FK36" s="128" t="str">
        <f>_xlfn.XLOOKUP(K36,[2]目录表!$H:$H,[2]目录表!$AJ:$AJ)</f>
        <v>散货</v>
      </c>
    </row>
    <row r="37" customHeight="1" spans="2:167">
      <c r="B37" s="200" t="s">
        <v>293</v>
      </c>
      <c r="C37" s="158">
        <v>19</v>
      </c>
      <c r="D37" s="158">
        <v>32</v>
      </c>
      <c r="E37" s="181">
        <v>46038</v>
      </c>
      <c r="G37" s="158" t="s">
        <v>294</v>
      </c>
      <c r="H37" s="203" t="s">
        <v>295</v>
      </c>
      <c r="J37" s="201" t="s">
        <v>296</v>
      </c>
      <c r="K37" s="127" t="s">
        <v>297</v>
      </c>
      <c r="L37" s="128">
        <v>4687042964</v>
      </c>
      <c r="M37" s="189" t="s">
        <v>149</v>
      </c>
      <c r="N37" s="131">
        <f>_xlfn.XLOOKUP(L37,数据更新表!J:J,数据更新表!K:K)</f>
        <v>100</v>
      </c>
      <c r="O37" s="131">
        <f>IFERROR(_xlfn.XLOOKUP(K37,数据更新表!A:A,数据更新表!B:B),"0")</f>
        <v>20</v>
      </c>
      <c r="P37" s="131">
        <f>_xlfn.XLOOKUP(K37,[1]库销表!$F:$F,[1]库销表!$L:$L)</f>
        <v>0</v>
      </c>
      <c r="Q37" s="184">
        <f t="shared" si="0"/>
        <v>35</v>
      </c>
      <c r="S37" s="128" t="e">
        <f>_xlfn.XLOOKUP(K37,数据更新表!R:R,数据更新表!S:S)</f>
        <v>#N/A</v>
      </c>
      <c r="T37" s="128" t="e">
        <f>_xlfn.XLOOKUP(K37,数据更新表!V:V,数据更新表!W:W)</f>
        <v>#N/A</v>
      </c>
      <c r="V37" s="185">
        <f t="shared" si="1"/>
        <v>35</v>
      </c>
      <c r="W37" s="158">
        <f t="shared" si="2"/>
        <v>0.571428571428571</v>
      </c>
      <c r="X37" s="158">
        <f t="shared" si="24"/>
        <v>20</v>
      </c>
      <c r="AF37" s="128">
        <f t="shared" si="23"/>
        <v>24</v>
      </c>
      <c r="AJ37" s="128">
        <v>24</v>
      </c>
      <c r="BI37" s="131"/>
      <c r="BR37" s="131"/>
      <c r="BS37" s="131">
        <f>_xlfn.XLOOKUP(K37,[1]库销表!$F:$F,[1]库销表!$L:$L)</f>
        <v>0</v>
      </c>
      <c r="BT37" s="131">
        <f t="shared" si="4"/>
        <v>0</v>
      </c>
      <c r="CW37" s="131">
        <f>_xlfn.XLOOKUP(K37,[1]库销表!$F:$F,[1]库销表!$IE:$IE)</f>
        <v>0</v>
      </c>
      <c r="CX37" s="131">
        <f>_xlfn.XLOOKUP(K37,[1]库销表!$F:$F,[1]库销表!$IF:$IF)</f>
        <v>0</v>
      </c>
      <c r="CY37" s="186">
        <f>_xlfn.XLOOKUP(K37,[1]库销表!$F:$F,[1]库销表!$FL:$FL)</f>
        <v>0</v>
      </c>
      <c r="CZ37" s="131">
        <f>_xlfn.XLOOKUP(K37,数据更新表!E:E,数据更新表!F:F,0)</f>
        <v>4</v>
      </c>
      <c r="DA37" s="131">
        <v>1</v>
      </c>
      <c r="DB37" s="131">
        <f>_xlfn.XLOOKUP(K37,数据更新表!E:E,数据更新表!G:G)</f>
        <v>0</v>
      </c>
      <c r="DC37" s="187">
        <f>_xlfn.XLOOKUP(L37,数据更新表!Z:Z,数据更新表!AH:AH)</f>
        <v>3</v>
      </c>
      <c r="DD37" s="131">
        <f>_xlfn.XLOOKUP(L37,数据更新表!Z:Z,数据更新表!AE:AE)</f>
        <v>1</v>
      </c>
      <c r="DE37" s="131">
        <f>_xlfn.XLOOKUP(L37,数据更新表!Z:Z,数据更新表!AF:AF)</f>
        <v>1</v>
      </c>
      <c r="DF37" s="131" t="e">
        <f>_xlfn.XLOOKUP(K37,数据更新表!Z:Z,数据更新表!AG:AG)</f>
        <v>#N/A</v>
      </c>
      <c r="DG37" s="128">
        <f>_xlfn.XLOOKUP(L37,数据更新表!Z:Z,数据更新表!AD:AD)</f>
        <v>986.47</v>
      </c>
      <c r="DH37" s="128">
        <f>_xlfn.XLOOKUP(L37,数据更新表!Z:Z,数据更新表!AA:AA)</f>
        <v>12445</v>
      </c>
      <c r="DI37" s="128">
        <f>_xlfn.XLOOKUP(L37,数据更新表!Z:Z,数据更新表!AB:AB)</f>
        <v>42</v>
      </c>
      <c r="DJ37" s="128" t="str">
        <f>_xlfn.XLOOKUP(L37,数据更新表!Z:Z,数据更新表!AC:AC)</f>
        <v>75.94%</v>
      </c>
      <c r="DK37" s="133" t="str">
        <f>_xlfn.XLOOKUP(L37,数据更新表!Z:Z,数据更新表!AI:AI)</f>
        <v>18.99%</v>
      </c>
      <c r="DL37" s="133" t="str">
        <f>_xlfn.XLOOKUP(L37,数据更新表!AL:AL,数据更新表!AM:AM)</f>
        <v>19.03%</v>
      </c>
      <c r="DM37" s="131">
        <f>_xlfn.XLOOKUP(L37,数据更新表!Z:Z,数据更新表!AJ:AJ)</f>
        <v>1.32</v>
      </c>
      <c r="DN37" s="187">
        <v>6.6</v>
      </c>
      <c r="DO37" s="188" t="s">
        <v>111</v>
      </c>
      <c r="DP37" s="203" t="s">
        <v>298</v>
      </c>
      <c r="DQ37" s="134">
        <v>46084</v>
      </c>
      <c r="DW37" s="189"/>
      <c r="DX37" s="189"/>
      <c r="DY37" s="189"/>
      <c r="DZ37" s="189"/>
      <c r="ED37" s="189" t="s">
        <v>299</v>
      </c>
      <c r="EE37" s="158">
        <v>1299</v>
      </c>
      <c r="EF37" s="190">
        <f t="shared" ref="EF37:EF50" si="26">EE37/0.7</f>
        <v>1855.71428571429</v>
      </c>
      <c r="EG37" s="158">
        <v>155</v>
      </c>
      <c r="EH37" s="191">
        <f t="shared" si="5"/>
        <v>0.856359958279778</v>
      </c>
      <c r="EI37" s="158">
        <f t="shared" si="6"/>
        <v>404.55</v>
      </c>
      <c r="EJ37" s="190">
        <f t="shared" si="7"/>
        <v>367.12542875</v>
      </c>
      <c r="EK37" s="191">
        <f t="shared" si="8"/>
        <v>0.28262157717475</v>
      </c>
      <c r="EL37" s="192">
        <f t="shared" si="18"/>
        <v>24.15457125</v>
      </c>
      <c r="EM37" s="158" t="str">
        <f t="shared" si="10"/>
        <v>是</v>
      </c>
      <c r="EN37" s="158">
        <f t="shared" si="11"/>
        <v>64.95</v>
      </c>
      <c r="EO37" s="190">
        <f t="shared" si="12"/>
        <v>227.325</v>
      </c>
      <c r="EP37" s="182">
        <f>IF(EE37&lt;299,IF(EE37&lt;99,25,IF(EE37&lt;=149,30,IF(EE37&lt;=299,37,85))),IF(EE37&lt;=498,_xlfn.XLOOKUP(EW37,运费表!A:A,运费表!C:C,"重量超限",-1),_xlfn.XLOOKUP(EW37,运费表!A:A,运费表!D:D,"重量超限",-1)))</f>
        <v>74.5</v>
      </c>
      <c r="EQ37" s="182">
        <f t="shared" si="13"/>
        <v>136.395</v>
      </c>
      <c r="ER37" s="158">
        <f>_xlfn.XLOOKUP(K37,[4]目录表!$H:$H,[4]目录表!$X:$X)</f>
        <v>0.6</v>
      </c>
      <c r="ES37" s="158">
        <f>_xlfn.XLOOKUP(K37,[4]目录表!$H:$H,[4]目录表!$Y:$Y)</f>
        <v>18.5</v>
      </c>
      <c r="ET37" s="158">
        <f>_xlfn.XLOOKUP(K37,[4]目录表!$H:$H,[4]目录表!$Z:$Z)</f>
        <v>14.5</v>
      </c>
      <c r="EU37" s="158">
        <f>_xlfn.XLOOKUP(K37,[4]目录表!$H:$H,[4]目录表!$AA:$AA)</f>
        <v>11.5</v>
      </c>
      <c r="EV37" s="158">
        <f t="shared" si="21"/>
        <v>0.616975</v>
      </c>
      <c r="EW37" s="158">
        <f t="shared" si="15"/>
        <v>0.616975</v>
      </c>
      <c r="EX37" s="193">
        <f>_xlfn.XLOOKUP(K37,[2]目录表!$H:$H,[2]目录表!$AB:$AB)</f>
        <v>0.003084875</v>
      </c>
      <c r="EZ37" s="194">
        <f t="shared" si="25"/>
        <v>0.571428571428571</v>
      </c>
      <c r="FK37" s="128" t="str">
        <f>_xlfn.XLOOKUP(K37,[2]目录表!$H:$H,[2]目录表!$AJ:$AJ)</f>
        <v>散货</v>
      </c>
    </row>
    <row r="38" customHeight="1" spans="2:167">
      <c r="B38" s="200" t="s">
        <v>300</v>
      </c>
      <c r="C38" s="158">
        <v>15</v>
      </c>
      <c r="D38" s="158">
        <v>41</v>
      </c>
      <c r="E38" s="181">
        <v>46038</v>
      </c>
      <c r="G38" s="158" t="s">
        <v>294</v>
      </c>
      <c r="H38" s="203" t="s">
        <v>301</v>
      </c>
      <c r="J38" s="201" t="s">
        <v>302</v>
      </c>
      <c r="K38" s="142" t="s">
        <v>303</v>
      </c>
      <c r="L38" s="128">
        <v>4686991600</v>
      </c>
      <c r="M38" s="189" t="s">
        <v>149</v>
      </c>
      <c r="N38" s="131">
        <f>_xlfn.XLOOKUP(L38,数据更新表!J:J,数据更新表!K:K)</f>
        <v>100</v>
      </c>
      <c r="O38" s="131">
        <f>IFERROR(_xlfn.XLOOKUP(K38,数据更新表!A:A,数据更新表!B:B),"0")</f>
        <v>13</v>
      </c>
      <c r="P38" s="131">
        <f>_xlfn.XLOOKUP(K38,[1]库销表!$F:$F,[1]库销表!$L:$L)</f>
        <v>0</v>
      </c>
      <c r="Q38" s="184">
        <f t="shared" si="0"/>
        <v>22.75</v>
      </c>
      <c r="S38" s="128" t="e">
        <f>_xlfn.XLOOKUP(K38,数据更新表!R:R,数据更新表!S:S)</f>
        <v>#N/A</v>
      </c>
      <c r="T38" s="128" t="e">
        <f>_xlfn.XLOOKUP(K38,数据更新表!V:V,数据更新表!W:W)</f>
        <v>#N/A</v>
      </c>
      <c r="V38" s="185">
        <f t="shared" si="1"/>
        <v>22.75</v>
      </c>
      <c r="W38" s="158">
        <f t="shared" si="2"/>
        <v>0.571428571428571</v>
      </c>
      <c r="X38" s="158">
        <f t="shared" si="24"/>
        <v>13</v>
      </c>
      <c r="AF38" s="128">
        <f t="shared" si="23"/>
        <v>24</v>
      </c>
      <c r="AJ38" s="128">
        <v>24</v>
      </c>
      <c r="BI38" s="131"/>
      <c r="BR38" s="131"/>
      <c r="BS38" s="131">
        <f>_xlfn.XLOOKUP(K38,[1]库销表!$F:$F,[1]库销表!$L:$L)</f>
        <v>0</v>
      </c>
      <c r="BT38" s="131">
        <f t="shared" si="4"/>
        <v>0</v>
      </c>
      <c r="CW38" s="131">
        <f>_xlfn.XLOOKUP(K38,[1]库销表!$F:$F,[1]库销表!$IE:$IE)</f>
        <v>0</v>
      </c>
      <c r="CX38" s="131">
        <f>_xlfn.XLOOKUP(K38,[1]库销表!$F:$F,[1]库销表!$IF:$IF)</f>
        <v>0</v>
      </c>
      <c r="CY38" s="186">
        <f>_xlfn.XLOOKUP(K38,[1]库销表!$F:$F,[1]库销表!$FL:$FL)</f>
        <v>0</v>
      </c>
      <c r="CZ38" s="131">
        <f>_xlfn.XLOOKUP(K38,数据更新表!E:E,数据更新表!F:F,0)</f>
        <v>4</v>
      </c>
      <c r="DA38" s="131">
        <v>3</v>
      </c>
      <c r="DB38" s="131">
        <f>_xlfn.XLOOKUP(K38,数据更新表!E:E,数据更新表!G:G)</f>
        <v>0</v>
      </c>
      <c r="DC38" s="187">
        <f>_xlfn.XLOOKUP(L38,数据更新表!Z:Z,数据更新表!AH:AH)</f>
        <v>2</v>
      </c>
      <c r="DD38" s="131">
        <f>_xlfn.XLOOKUP(L38,数据更新表!Z:Z,数据更新表!AE:AE)</f>
        <v>2</v>
      </c>
      <c r="DE38" s="131">
        <f>_xlfn.XLOOKUP(L38,数据更新表!Z:Z,数据更新表!AF:AF)</f>
        <v>2</v>
      </c>
      <c r="DF38" s="131" t="e">
        <f>_xlfn.XLOOKUP(K38,数据更新表!Z:Z,数据更新表!AG:AG)</f>
        <v>#N/A</v>
      </c>
      <c r="DG38" s="128">
        <f>_xlfn.XLOOKUP(L38,数据更新表!Z:Z,数据更新表!AD:AD)</f>
        <v>122.54</v>
      </c>
      <c r="DH38" s="128">
        <f>_xlfn.XLOOKUP(L38,数据更新表!Z:Z,数据更新表!AA:AA)</f>
        <v>10729</v>
      </c>
      <c r="DI38" s="128">
        <f>_xlfn.XLOOKUP(L38,数据更新表!Z:Z,数据更新表!AB:AB)</f>
        <v>16</v>
      </c>
      <c r="DJ38" s="128" t="str">
        <f>_xlfn.XLOOKUP(L38,数据更新表!Z:Z,数据更新表!AC:AC)</f>
        <v>9.16%</v>
      </c>
      <c r="DK38" s="133" t="str">
        <f>_xlfn.XLOOKUP(L38,数据更新表!Z:Z,数据更新表!AI:AI)</f>
        <v>4.58%</v>
      </c>
      <c r="DL38" s="133" t="str">
        <f>_xlfn.XLOOKUP(L38,数据更新表!AL:AL,数据更新表!AM:AM)</f>
        <v>4.21%</v>
      </c>
      <c r="DM38" s="131">
        <f>_xlfn.XLOOKUP(L38,数据更新表!Z:Z,数据更新表!AJ:AJ)</f>
        <v>10.92</v>
      </c>
      <c r="DN38" s="187">
        <v>15</v>
      </c>
      <c r="DO38" s="188" t="s">
        <v>111</v>
      </c>
      <c r="DP38" s="203" t="s">
        <v>304</v>
      </c>
      <c r="DQ38" s="134">
        <v>46084</v>
      </c>
      <c r="DU38" s="189" t="s">
        <v>164</v>
      </c>
      <c r="DV38" s="189"/>
      <c r="DW38" s="189"/>
      <c r="DX38" s="189"/>
      <c r="DY38" s="189"/>
      <c r="DZ38" s="189"/>
      <c r="ED38" s="189" t="s">
        <v>305</v>
      </c>
      <c r="EE38" s="158">
        <v>669</v>
      </c>
      <c r="EF38" s="190">
        <f t="shared" si="26"/>
        <v>955.714285714286</v>
      </c>
      <c r="EG38" s="158">
        <v>128</v>
      </c>
      <c r="EH38" s="191">
        <f t="shared" si="5"/>
        <v>0.0252359103542312</v>
      </c>
      <c r="EI38" s="158">
        <f t="shared" si="6"/>
        <v>334.08</v>
      </c>
      <c r="EJ38" s="190">
        <f t="shared" si="7"/>
        <v>8.95311760000004</v>
      </c>
      <c r="EK38" s="191">
        <f t="shared" si="8"/>
        <v>0.0133828364723468</v>
      </c>
      <c r="EL38" s="192">
        <f t="shared" si="18"/>
        <v>20.6968824</v>
      </c>
      <c r="EM38" s="158" t="str">
        <f t="shared" si="10"/>
        <v>是</v>
      </c>
      <c r="EN38" s="158">
        <f t="shared" si="11"/>
        <v>33.45</v>
      </c>
      <c r="EO38" s="190">
        <f t="shared" si="12"/>
        <v>117.075</v>
      </c>
      <c r="EP38" s="182">
        <f>IF(EE38&lt;299,IF(EE38&lt;99,25,IF(EE38&lt;=149,30,IF(EE38&lt;=299,37,85))),IF(EE38&lt;=498,_xlfn.XLOOKUP(EW38,运费表!A:A,运费表!C:C,"重量超限",-1),_xlfn.XLOOKUP(EW38,运费表!A:A,运费表!D:D,"重量超限",-1)))</f>
        <v>84.5</v>
      </c>
      <c r="EQ38" s="182">
        <f t="shared" si="13"/>
        <v>70.245</v>
      </c>
      <c r="ER38" s="158">
        <f>_xlfn.XLOOKUP(K38,[4]目录表!$H:$H,[4]目录表!$X:$X)</f>
        <v>1.22</v>
      </c>
      <c r="ES38" s="158">
        <f>_xlfn.XLOOKUP(K38,[4]目录表!$H:$H,[4]目录表!$Y:$Y)</f>
        <v>18.8</v>
      </c>
      <c r="ET38" s="158">
        <f>_xlfn.XLOOKUP(K38,[4]目录表!$H:$H,[4]目录表!$Z:$Z)</f>
        <v>14.8</v>
      </c>
      <c r="EU38" s="158">
        <f>_xlfn.XLOOKUP(K38,[4]目录表!$H:$H,[4]目录表!$AA:$AA)</f>
        <v>9.5</v>
      </c>
      <c r="EV38" s="158">
        <f t="shared" si="21"/>
        <v>0.528656</v>
      </c>
      <c r="EW38" s="158">
        <f t="shared" si="15"/>
        <v>1.22</v>
      </c>
      <c r="EX38" s="193">
        <f>_xlfn.XLOOKUP(K38,[2]目录表!$H:$H,[2]目录表!$AB:$AB)</f>
        <v>0.00264328</v>
      </c>
      <c r="EZ38" s="194">
        <f t="shared" si="25"/>
        <v>0.571428571428571</v>
      </c>
      <c r="FK38" s="128" t="str">
        <f>_xlfn.XLOOKUP(K38,[2]目录表!$H:$H,[2]目录表!$AJ:$AJ)</f>
        <v>散货</v>
      </c>
    </row>
    <row r="39" customHeight="1" spans="2:167">
      <c r="B39" s="200" t="s">
        <v>306</v>
      </c>
      <c r="C39" s="158">
        <v>9</v>
      </c>
      <c r="D39" s="158">
        <v>36</v>
      </c>
      <c r="E39" s="181">
        <v>46038</v>
      </c>
      <c r="G39" s="158" t="s">
        <v>294</v>
      </c>
      <c r="H39" s="203" t="s">
        <v>307</v>
      </c>
      <c r="J39" s="201" t="s">
        <v>308</v>
      </c>
      <c r="K39" s="127" t="s">
        <v>309</v>
      </c>
      <c r="L39" s="128">
        <v>4687030984</v>
      </c>
      <c r="M39" s="189" t="s">
        <v>149</v>
      </c>
      <c r="N39" s="131">
        <f>_xlfn.XLOOKUP(L39,数据更新表!J:J,数据更新表!K:K)</f>
        <v>100</v>
      </c>
      <c r="O39" s="131">
        <f>IFERROR(_xlfn.XLOOKUP(K39,数据更新表!A:A,数据更新表!B:B),"0")</f>
        <v>8</v>
      </c>
      <c r="P39" s="131">
        <f>_xlfn.XLOOKUP(K39,[1]库销表!$F:$F,[1]库销表!$L:$L)</f>
        <v>0</v>
      </c>
      <c r="Q39" s="184">
        <f t="shared" si="0"/>
        <v>7.00000000000002</v>
      </c>
      <c r="S39" s="128" t="e">
        <f>_xlfn.XLOOKUP(K39,数据更新表!R:R,数据更新表!S:S)</f>
        <v>#N/A</v>
      </c>
      <c r="T39" s="128" t="e">
        <f>_xlfn.XLOOKUP(K39,数据更新表!V:V,数据更新表!W:W)</f>
        <v>#N/A</v>
      </c>
      <c r="V39" s="185">
        <f t="shared" si="1"/>
        <v>7</v>
      </c>
      <c r="W39" s="158">
        <f t="shared" si="2"/>
        <v>1.14285714285714</v>
      </c>
      <c r="X39" s="158">
        <f t="shared" si="24"/>
        <v>8</v>
      </c>
      <c r="AF39" s="128">
        <f t="shared" si="23"/>
        <v>24</v>
      </c>
      <c r="AJ39" s="128">
        <v>24</v>
      </c>
      <c r="BH39" s="131"/>
      <c r="BI39" s="131"/>
      <c r="BR39" s="131"/>
      <c r="BS39" s="131">
        <f>_xlfn.XLOOKUP(K39,[1]库销表!$F:$F,[1]库销表!$L:$L)</f>
        <v>0</v>
      </c>
      <c r="BT39" s="131">
        <f t="shared" si="4"/>
        <v>0</v>
      </c>
      <c r="CW39" s="131">
        <f>_xlfn.XLOOKUP(K39,[1]库销表!$F:$F,[1]库销表!$IE:$IE)</f>
        <v>0</v>
      </c>
      <c r="CX39" s="131">
        <f>_xlfn.XLOOKUP(K39,[1]库销表!$F:$F,[1]库销表!$IF:$IF)</f>
        <v>0</v>
      </c>
      <c r="CY39" s="186">
        <f>_xlfn.XLOOKUP(K39,[1]库销表!$F:$F,[1]库销表!$FL:$FL)</f>
        <v>0</v>
      </c>
      <c r="CZ39" s="131">
        <f>_xlfn.XLOOKUP(K39,数据更新表!E:E,数据更新表!F:F,0)</f>
        <v>8</v>
      </c>
      <c r="DA39" s="131">
        <v>11</v>
      </c>
      <c r="DB39" s="131">
        <f>_xlfn.XLOOKUP(K39,数据更新表!E:E,数据更新表!G:G)</f>
        <v>1</v>
      </c>
      <c r="DC39" s="187">
        <f>_xlfn.XLOOKUP(L39,数据更新表!Z:Z,数据更新表!AH:AH)</f>
        <v>2</v>
      </c>
      <c r="DD39" s="131">
        <f>_xlfn.XLOOKUP(L39,数据更新表!Z:Z,数据更新表!AE:AE)</f>
        <v>6</v>
      </c>
      <c r="DE39" s="131">
        <f>_xlfn.XLOOKUP(L39,数据更新表!Z:Z,数据更新表!AF:AF)</f>
        <v>6</v>
      </c>
      <c r="DF39" s="131" t="e">
        <f>_xlfn.XLOOKUP(K39,数据更新表!Z:Z,数据更新表!AG:AG)</f>
        <v>#N/A</v>
      </c>
      <c r="DG39" s="128">
        <f>_xlfn.XLOOKUP(L39,数据更新表!Z:Z,数据更新表!AD:AD)</f>
        <v>788.65</v>
      </c>
      <c r="DH39" s="128">
        <f>_xlfn.XLOOKUP(L39,数据更新表!Z:Z,数据更新表!AA:AA)</f>
        <v>11984</v>
      </c>
      <c r="DI39" s="128">
        <f>_xlfn.XLOOKUP(L39,数据更新表!Z:Z,数据更新表!AB:AB)</f>
        <v>39</v>
      </c>
      <c r="DJ39" s="128" t="str">
        <f>_xlfn.XLOOKUP(L39,数据更新表!Z:Z,数据更新表!AC:AC)</f>
        <v>16.45%</v>
      </c>
      <c r="DK39" s="133" t="str">
        <f>_xlfn.XLOOKUP(L39,数据更新表!Z:Z,数据更新表!AI:AI)</f>
        <v>12.34%</v>
      </c>
      <c r="DL39" s="133" t="str">
        <f>_xlfn.XLOOKUP(L39,数据更新表!AL:AL,数据更新表!AM:AM)</f>
        <v>10.48%</v>
      </c>
      <c r="DM39" s="131">
        <f>_xlfn.XLOOKUP(L39,数据更新表!Z:Z,数据更新表!AJ:AJ)</f>
        <v>6.08</v>
      </c>
      <c r="DN39" s="187">
        <v>8</v>
      </c>
      <c r="DO39" s="188" t="s">
        <v>111</v>
      </c>
      <c r="DP39" s="203" t="s">
        <v>310</v>
      </c>
      <c r="DQ39" s="134">
        <v>46084</v>
      </c>
      <c r="DU39" s="189" t="s">
        <v>164</v>
      </c>
      <c r="DV39" s="189"/>
      <c r="DW39" s="189"/>
      <c r="DX39" s="189"/>
      <c r="DY39" s="189"/>
      <c r="DZ39" s="189"/>
      <c r="ED39" s="189" t="s">
        <v>311</v>
      </c>
      <c r="EE39" s="158">
        <v>799</v>
      </c>
      <c r="EF39" s="190">
        <f t="shared" si="26"/>
        <v>1141.42857142857</v>
      </c>
      <c r="EG39" s="158">
        <v>130</v>
      </c>
      <c r="EH39" s="191">
        <f t="shared" si="5"/>
        <v>0.252316400615585</v>
      </c>
      <c r="EI39" s="158">
        <f t="shared" si="6"/>
        <v>339.3</v>
      </c>
      <c r="EJ39" s="190">
        <f t="shared" si="7"/>
        <v>90.8331176</v>
      </c>
      <c r="EK39" s="191">
        <f t="shared" si="8"/>
        <v>0.113683501376721</v>
      </c>
      <c r="EL39" s="192">
        <f t="shared" si="18"/>
        <v>20.6968824</v>
      </c>
      <c r="EM39" s="158" t="str">
        <f t="shared" si="10"/>
        <v>是</v>
      </c>
      <c r="EN39" s="158">
        <f t="shared" si="11"/>
        <v>39.95</v>
      </c>
      <c r="EO39" s="190">
        <f t="shared" si="12"/>
        <v>139.825</v>
      </c>
      <c r="EP39" s="182">
        <f>IF(EE39&lt;299,IF(EE39&lt;99,25,IF(EE39&lt;=149,30,IF(EE39&lt;=299,37,85))),IF(EE39&lt;=498,_xlfn.XLOOKUP(EW39,运费表!A:A,运费表!C:C,"重量超限",-1),_xlfn.XLOOKUP(EW39,运费表!A:A,运费表!D:D,"重量超限",-1)))</f>
        <v>84.5</v>
      </c>
      <c r="EQ39" s="182">
        <f t="shared" si="13"/>
        <v>83.895</v>
      </c>
      <c r="ER39" s="158">
        <f>_xlfn.XLOOKUP(K39,[4]目录表!$H:$H,[4]目录表!$X:$X)</f>
        <v>1.18</v>
      </c>
      <c r="ES39" s="158">
        <f>_xlfn.XLOOKUP(K39,[4]目录表!$H:$H,[4]目录表!$Y:$Y)</f>
        <v>18.8</v>
      </c>
      <c r="ET39" s="158">
        <f>_xlfn.XLOOKUP(K39,[4]目录表!$H:$H,[4]目录表!$Z:$Z)</f>
        <v>14.8</v>
      </c>
      <c r="EU39" s="158">
        <f>_xlfn.XLOOKUP(K39,[4]目录表!$H:$H,[4]目录表!$AA:$AA)</f>
        <v>9.5</v>
      </c>
      <c r="EV39" s="158">
        <f t="shared" si="21"/>
        <v>0.528656</v>
      </c>
      <c r="EW39" s="158">
        <f t="shared" si="15"/>
        <v>1.18</v>
      </c>
      <c r="EX39" s="193">
        <f>_xlfn.XLOOKUP(K39,[2]目录表!$H:$H,[2]目录表!$AB:$AB)</f>
        <v>0.00264328</v>
      </c>
      <c r="EZ39" s="194">
        <f t="shared" si="25"/>
        <v>1.14285714285714</v>
      </c>
      <c r="FK39" s="128" t="str">
        <f>_xlfn.XLOOKUP(K39,[2]目录表!$H:$H,[2]目录表!$AJ:$AJ)</f>
        <v>散货</v>
      </c>
    </row>
    <row r="40" customHeight="1" spans="2:167">
      <c r="B40" s="200" t="s">
        <v>312</v>
      </c>
      <c r="C40" s="158">
        <v>10</v>
      </c>
      <c r="D40" s="158">
        <v>40</v>
      </c>
      <c r="E40" s="181">
        <v>46041</v>
      </c>
      <c r="G40" s="158" t="s">
        <v>294</v>
      </c>
      <c r="H40" s="203" t="s">
        <v>313</v>
      </c>
      <c r="J40" s="127" t="s">
        <v>314</v>
      </c>
      <c r="K40" s="127" t="s">
        <v>315</v>
      </c>
      <c r="L40" s="128">
        <v>4687109248</v>
      </c>
      <c r="M40" s="189" t="s">
        <v>149</v>
      </c>
      <c r="N40" s="131">
        <f>_xlfn.XLOOKUP(L40,数据更新表!J:J,数据更新表!K:K)</f>
        <v>100</v>
      </c>
      <c r="O40" s="131">
        <f>IFERROR(_xlfn.XLOOKUP(K40,数据更新表!A:A,数据更新表!B:B),"0")</f>
        <v>12</v>
      </c>
      <c r="P40" s="131">
        <f>_xlfn.XLOOKUP(K40,[1]库销表!$F:$F,[1]库销表!$L:$L)</f>
        <v>0</v>
      </c>
      <c r="Q40" s="184">
        <f t="shared" si="0"/>
        <v>14</v>
      </c>
      <c r="S40" s="128" t="e">
        <f>_xlfn.XLOOKUP(K40,数据更新表!R:R,数据更新表!S:S)</f>
        <v>#N/A</v>
      </c>
      <c r="T40" s="128" t="e">
        <f>_xlfn.XLOOKUP(K40,数据更新表!V:V,数据更新表!W:W)</f>
        <v>#N/A</v>
      </c>
      <c r="V40" s="185">
        <f t="shared" si="1"/>
        <v>14</v>
      </c>
      <c r="W40" s="158">
        <f t="shared" si="2"/>
        <v>0.857142857142857</v>
      </c>
      <c r="X40" s="158">
        <f t="shared" si="24"/>
        <v>12</v>
      </c>
      <c r="AF40" s="128">
        <f t="shared" si="23"/>
        <v>24</v>
      </c>
      <c r="AJ40" s="128">
        <v>24</v>
      </c>
      <c r="BI40" s="131"/>
      <c r="BR40" s="131"/>
      <c r="BS40" s="131">
        <f>_xlfn.XLOOKUP(K40,[1]库销表!$F:$F,[1]库销表!$L:$L)</f>
        <v>0</v>
      </c>
      <c r="BT40" s="131">
        <f t="shared" si="4"/>
        <v>0</v>
      </c>
      <c r="CW40" s="131">
        <f>_xlfn.XLOOKUP(K40,[1]库销表!$F:$F,[1]库销表!$IE:$IE)</f>
        <v>0</v>
      </c>
      <c r="CX40" s="131">
        <f>_xlfn.XLOOKUP(K40,[1]库销表!$F:$F,[1]库销表!$IF:$IF)</f>
        <v>0</v>
      </c>
      <c r="CY40" s="186">
        <f>_xlfn.XLOOKUP(K40,[1]库销表!$F:$F,[1]库销表!$FL:$FL)</f>
        <v>0</v>
      </c>
      <c r="CZ40" s="131">
        <f>_xlfn.XLOOKUP(K40,数据更新表!E:E,数据更新表!F:F,0)</f>
        <v>6</v>
      </c>
      <c r="DA40" s="131">
        <v>6</v>
      </c>
      <c r="DB40" s="131">
        <f>_xlfn.XLOOKUP(K40,数据更新表!E:E,数据更新表!G:G)</f>
        <v>2</v>
      </c>
      <c r="DC40" s="187">
        <f>_xlfn.XLOOKUP(L40,数据更新表!Z:Z,数据更新表!AH:AH)</f>
        <v>5</v>
      </c>
      <c r="DD40" s="131">
        <f>_xlfn.XLOOKUP(L40,数据更新表!Z:Z,数据更新表!AE:AE)</f>
        <v>1</v>
      </c>
      <c r="DE40" s="131">
        <f>_xlfn.XLOOKUP(L40,数据更新表!Z:Z,数据更新表!AF:AF)</f>
        <v>1</v>
      </c>
      <c r="DF40" s="131" t="e">
        <f>_xlfn.XLOOKUP(K40,数据更新表!Z:Z,数据更新表!AG:AG)</f>
        <v>#N/A</v>
      </c>
      <c r="DG40" s="128">
        <f>_xlfn.XLOOKUP(L40,数据更新表!Z:Z,数据更新表!AD:AD)</f>
        <v>632.84</v>
      </c>
      <c r="DH40" s="128">
        <f>_xlfn.XLOOKUP(L40,数据更新表!Z:Z,数据更新表!AA:AA)</f>
        <v>11886</v>
      </c>
      <c r="DI40" s="128">
        <f>_xlfn.XLOOKUP(L40,数据更新表!Z:Z,数据更新表!AB:AB)</f>
        <v>42</v>
      </c>
      <c r="DJ40" s="128" t="str">
        <f>_xlfn.XLOOKUP(L40,数据更新表!Z:Z,数据更新表!AC:AC)</f>
        <v>46.23%</v>
      </c>
      <c r="DK40" s="133" t="str">
        <f>_xlfn.XLOOKUP(L40,数据更新表!Z:Z,数据更新表!AI:AI)</f>
        <v>7.70%</v>
      </c>
      <c r="DL40" s="133" t="str">
        <f>_xlfn.XLOOKUP(L40,数据更新表!AL:AL,数据更新表!AM:AM)</f>
        <v>6.99%</v>
      </c>
      <c r="DM40" s="131">
        <f>_xlfn.XLOOKUP(L40,数据更新表!Z:Z,数据更新表!AJ:AJ)</f>
        <v>2.16</v>
      </c>
      <c r="DN40" s="187">
        <v>8</v>
      </c>
      <c r="DO40" s="188" t="s">
        <v>111</v>
      </c>
      <c r="DP40" s="203" t="s">
        <v>310</v>
      </c>
      <c r="DQ40" s="134">
        <v>46084</v>
      </c>
      <c r="DW40" s="189"/>
      <c r="DX40" s="189"/>
      <c r="DY40" s="189"/>
      <c r="DZ40" s="189"/>
      <c r="EB40" s="197"/>
      <c r="ED40" s="189" t="s">
        <v>316</v>
      </c>
      <c r="EE40" s="158">
        <v>1369</v>
      </c>
      <c r="EF40" s="190">
        <f t="shared" si="26"/>
        <v>1955.71428571429</v>
      </c>
      <c r="EG40" s="158">
        <v>160</v>
      </c>
      <c r="EH40" s="191">
        <f t="shared" si="5"/>
        <v>0.907688238777902</v>
      </c>
      <c r="EI40" s="158">
        <f t="shared" si="6"/>
        <v>417.6</v>
      </c>
      <c r="EJ40" s="190">
        <f t="shared" si="7"/>
        <v>400.97542875</v>
      </c>
      <c r="EK40" s="191">
        <f t="shared" si="8"/>
        <v>0.292896587837838</v>
      </c>
      <c r="EL40" s="192">
        <f t="shared" si="18"/>
        <v>24.15457125</v>
      </c>
      <c r="EM40" s="158" t="str">
        <f t="shared" si="10"/>
        <v>是</v>
      </c>
      <c r="EN40" s="158">
        <f t="shared" si="11"/>
        <v>68.45</v>
      </c>
      <c r="EO40" s="190">
        <f t="shared" si="12"/>
        <v>239.575</v>
      </c>
      <c r="EP40" s="182">
        <f>IF(EE40&lt;299,IF(EE40&lt;99,25,IF(EE40&lt;=149,30,IF(EE40&lt;=299,37,85))),IF(EE40&lt;=498,_xlfn.XLOOKUP(EW40,运费表!A:A,运费表!C:C,"重量超限",-1),_xlfn.XLOOKUP(EW40,运费表!A:A,运费表!D:D,"重量超限",-1)))</f>
        <v>74.5</v>
      </c>
      <c r="EQ40" s="182">
        <f t="shared" si="13"/>
        <v>143.745</v>
      </c>
      <c r="ER40" s="158">
        <f>_xlfn.XLOOKUP(K40,[4]目录表!$H:$H,[4]目录表!$X:$X)</f>
        <v>0.96</v>
      </c>
      <c r="ES40" s="158">
        <f>_xlfn.XLOOKUP(K40,[4]目录表!$H:$H,[4]目录表!$Y:$Y)</f>
        <v>18.5</v>
      </c>
      <c r="ET40" s="158">
        <f>_xlfn.XLOOKUP(K40,[4]目录表!$H:$H,[4]目录表!$Z:$Z)</f>
        <v>14.5</v>
      </c>
      <c r="EU40" s="158">
        <f>_xlfn.XLOOKUP(K40,[4]目录表!$H:$H,[4]目录表!$AA:$AA)</f>
        <v>11.5</v>
      </c>
      <c r="EV40" s="158">
        <f t="shared" si="21"/>
        <v>0.616975</v>
      </c>
      <c r="EW40" s="158">
        <f t="shared" si="15"/>
        <v>0.96</v>
      </c>
      <c r="EX40" s="193">
        <f>_xlfn.XLOOKUP(K40,[2]目录表!$H:$H,[2]目录表!$AB:$AB)</f>
        <v>0.003084875</v>
      </c>
      <c r="EZ40" s="194">
        <f t="shared" si="25"/>
        <v>0.857142857142857</v>
      </c>
      <c r="FK40" s="128" t="str">
        <f>_xlfn.XLOOKUP(K40,[2]目录表!$H:$H,[2]目录表!$AJ:$AJ)</f>
        <v>散货</v>
      </c>
    </row>
    <row r="41" customHeight="1" spans="2:167">
      <c r="B41" s="200" t="s">
        <v>317</v>
      </c>
      <c r="C41" s="158">
        <v>14</v>
      </c>
      <c r="D41" s="158">
        <v>58</v>
      </c>
      <c r="E41" s="181">
        <v>46037</v>
      </c>
      <c r="G41" s="158" t="s">
        <v>318</v>
      </c>
      <c r="H41" s="203" t="s">
        <v>319</v>
      </c>
      <c r="J41" s="201" t="s">
        <v>320</v>
      </c>
      <c r="K41" s="127" t="s">
        <v>321</v>
      </c>
      <c r="L41" s="128">
        <v>4686940782</v>
      </c>
      <c r="M41" s="189" t="s">
        <v>149</v>
      </c>
      <c r="N41" s="131">
        <f>_xlfn.XLOOKUP(L41,数据更新表!J:J,数据更新表!K:K)</f>
        <v>100</v>
      </c>
      <c r="O41" s="131">
        <f>IFERROR(_xlfn.XLOOKUP(K41,数据更新表!A:A,数据更新表!B:B),"0")</f>
        <v>15</v>
      </c>
      <c r="P41" s="131">
        <f>_xlfn.XLOOKUP(K41,[1]库销表!$F:$F,[1]库销表!$L:$L)</f>
        <v>0</v>
      </c>
      <c r="Q41" s="184">
        <f t="shared" si="0"/>
        <v>10.5</v>
      </c>
      <c r="S41" s="128" t="e">
        <f>_xlfn.XLOOKUP(K41,数据更新表!R:R,数据更新表!S:S)</f>
        <v>#N/A</v>
      </c>
      <c r="T41" s="128" t="e">
        <f>_xlfn.XLOOKUP(K41,数据更新表!V:V,数据更新表!W:W)</f>
        <v>#N/A</v>
      </c>
      <c r="V41" s="185">
        <f t="shared" si="1"/>
        <v>10.5</v>
      </c>
      <c r="W41" s="158">
        <f t="shared" si="2"/>
        <v>1.42857142857143</v>
      </c>
      <c r="X41" s="158">
        <f t="shared" si="24"/>
        <v>15</v>
      </c>
      <c r="AF41" s="128">
        <f t="shared" si="23"/>
        <v>30</v>
      </c>
      <c r="AJ41" s="128">
        <v>30</v>
      </c>
      <c r="BI41" s="131"/>
      <c r="BR41" s="131"/>
      <c r="BS41" s="131">
        <f>_xlfn.XLOOKUP(K41,[1]库销表!$F:$F,[1]库销表!$L:$L)</f>
        <v>0</v>
      </c>
      <c r="BT41" s="131">
        <f t="shared" si="4"/>
        <v>0</v>
      </c>
      <c r="CW41" s="131">
        <f>_xlfn.XLOOKUP(K41,[1]库销表!$F:$F,[1]库销表!$IE:$IE)</f>
        <v>0</v>
      </c>
      <c r="CX41" s="131">
        <f>_xlfn.XLOOKUP(K41,[1]库销表!$F:$F,[1]库销表!$IF:$IF)</f>
        <v>0</v>
      </c>
      <c r="CY41" s="186">
        <f>_xlfn.XLOOKUP(K41,[1]库销表!$F:$F,[1]库销表!$FL:$FL)</f>
        <v>0</v>
      </c>
      <c r="CZ41" s="131">
        <f>_xlfn.XLOOKUP(K41,数据更新表!E:E,数据更新表!F:F,0)</f>
        <v>10</v>
      </c>
      <c r="DA41" s="131">
        <v>3</v>
      </c>
      <c r="DB41" s="131">
        <f>_xlfn.XLOOKUP(K41,数据更新表!E:E,数据更新表!G:G)</f>
        <v>1</v>
      </c>
      <c r="DC41" s="187">
        <f>_xlfn.XLOOKUP(L41,数据更新表!Z:Z,数据更新表!AH:AH)</f>
        <v>8</v>
      </c>
      <c r="DD41" s="131">
        <f>_xlfn.XLOOKUP(L41,数据更新表!Z:Z,数据更新表!AE:AE)</f>
        <v>2</v>
      </c>
      <c r="DE41" s="131">
        <f>_xlfn.XLOOKUP(L41,数据更新表!Z:Z,数据更新表!AF:AF)</f>
        <v>2</v>
      </c>
      <c r="DF41" s="131" t="e">
        <f>_xlfn.XLOOKUP(K41,数据更新表!Z:Z,数据更新表!AG:AG)</f>
        <v>#N/A</v>
      </c>
      <c r="DG41" s="128">
        <f>_xlfn.XLOOKUP(L41,数据更新表!Z:Z,数据更新表!AD:AD)</f>
        <v>149.77</v>
      </c>
      <c r="DH41" s="128">
        <f>_xlfn.XLOOKUP(L41,数据更新表!Z:Z,数据更新表!AA:AA)</f>
        <v>1893</v>
      </c>
      <c r="DI41" s="128">
        <f>_xlfn.XLOOKUP(L41,数据更新表!Z:Z,数据更新表!AB:AB)</f>
        <v>26</v>
      </c>
      <c r="DJ41" s="128" t="str">
        <f>_xlfn.XLOOKUP(L41,数据更新表!Z:Z,数据更新表!AC:AC)</f>
        <v>12.50%</v>
      </c>
      <c r="DK41" s="133" t="str">
        <f>_xlfn.XLOOKUP(L41,数据更新表!Z:Z,数据更新表!AI:AI)</f>
        <v>2.50%</v>
      </c>
      <c r="DL41" s="133" t="str">
        <f>_xlfn.XLOOKUP(L41,数据更新表!AL:AL,数据更新表!AM:AM)</f>
        <v>2.94%</v>
      </c>
      <c r="DM41" s="131">
        <f>_xlfn.XLOOKUP(L41,数据更新表!Z:Z,数据更新表!AJ:AJ)</f>
        <v>8</v>
      </c>
      <c r="DN41" s="187">
        <v>6.6</v>
      </c>
      <c r="DO41" s="188" t="s">
        <v>111</v>
      </c>
      <c r="DP41" s="203" t="s">
        <v>322</v>
      </c>
      <c r="DQ41" s="134">
        <v>46084</v>
      </c>
      <c r="DU41" s="197" t="s">
        <v>323</v>
      </c>
      <c r="DV41" s="197"/>
      <c r="ED41" s="189" t="s">
        <v>324</v>
      </c>
      <c r="EE41" s="158">
        <f>_xlfn.XLOOKUP(L41,数据更新表!J:J,数据更新表!L:L)</f>
        <v>599</v>
      </c>
      <c r="EF41" s="190">
        <f t="shared" si="26"/>
        <v>855.714285714286</v>
      </c>
      <c r="EG41" s="158">
        <v>87</v>
      </c>
      <c r="EH41" s="191">
        <f t="shared" si="5"/>
        <v>0.106621127651225</v>
      </c>
      <c r="EI41" s="158">
        <f t="shared" si="6"/>
        <v>227.07</v>
      </c>
      <c r="EJ41" s="190">
        <f t="shared" si="7"/>
        <v>30.52605</v>
      </c>
      <c r="EK41" s="191">
        <f t="shared" si="8"/>
        <v>0.0509616861435727</v>
      </c>
      <c r="EL41" s="192">
        <f t="shared" si="18"/>
        <v>59.23395</v>
      </c>
      <c r="EM41" s="158" t="str">
        <f t="shared" si="10"/>
        <v>是</v>
      </c>
      <c r="EN41" s="158">
        <f t="shared" si="11"/>
        <v>29.95</v>
      </c>
      <c r="EO41" s="190">
        <f t="shared" si="12"/>
        <v>104.825</v>
      </c>
      <c r="EP41" s="182">
        <f>IF(EE41&lt;299,IF(EE41&lt;99,25,IF(EE41&lt;=149,30,IF(EE41&lt;=299,37,85))),IF(EE41&lt;=498,_xlfn.XLOOKUP(EW41,运费表!A:A,运费表!C:C,"重量超限",-1),_xlfn.XLOOKUP(EW41,运费表!A:A,运费表!D:D,"重量超限",-1)))</f>
        <v>84.5</v>
      </c>
      <c r="EQ41" s="182">
        <f t="shared" si="13"/>
        <v>62.895</v>
      </c>
      <c r="ER41" s="158">
        <f>_xlfn.XLOOKUP(K41,[4]目录表!$H:$H,[4]目录表!$X:$X)</f>
        <v>1.4</v>
      </c>
      <c r="ES41" s="158">
        <f>_xlfn.XLOOKUP(K41,[4]目录表!$H:$H,[4]目录表!$Y:$Y)</f>
        <v>44.5</v>
      </c>
      <c r="ET41" s="158">
        <f>_xlfn.XLOOKUP(K41,[4]目录表!$H:$H,[4]目录表!$Z:$Z)</f>
        <v>8.5</v>
      </c>
      <c r="EU41" s="158">
        <f>_xlfn.XLOOKUP(K41,[4]目录表!$H:$H,[4]目录表!$AA:$AA)</f>
        <v>20</v>
      </c>
      <c r="EV41" s="158">
        <f t="shared" si="21"/>
        <v>1.513</v>
      </c>
      <c r="EW41" s="158">
        <f t="shared" si="15"/>
        <v>1.513</v>
      </c>
      <c r="EX41" s="193">
        <f>_xlfn.XLOOKUP(K41,[2]目录表!$H:$H,[2]目录表!$AB:$AB)</f>
        <v>0.007565</v>
      </c>
      <c r="EZ41" s="194">
        <f t="shared" si="25"/>
        <v>1.42857142857143</v>
      </c>
      <c r="FK41" s="128" t="str">
        <f>_xlfn.XLOOKUP(K41,[2]目录表!$H:$H,[2]目录表!$AJ:$AJ)</f>
        <v>散货</v>
      </c>
    </row>
    <row r="42" customHeight="1" spans="2:167">
      <c r="B42" s="200" t="s">
        <v>325</v>
      </c>
      <c r="C42" s="158">
        <v>9</v>
      </c>
      <c r="D42" s="158">
        <v>15</v>
      </c>
      <c r="E42" s="181">
        <v>46041</v>
      </c>
      <c r="G42" s="158" t="s">
        <v>318</v>
      </c>
      <c r="H42" s="203" t="s">
        <v>326</v>
      </c>
      <c r="J42" s="127" t="s">
        <v>327</v>
      </c>
      <c r="K42" s="127" t="s">
        <v>328</v>
      </c>
      <c r="L42" s="128">
        <v>4687019062</v>
      </c>
      <c r="M42" s="189" t="s">
        <v>149</v>
      </c>
      <c r="N42" s="131" t="str">
        <f>_xlfn.XLOOKUP(L42,数据更新表!J:J,数据更新表!K:K)</f>
        <v>--</v>
      </c>
      <c r="O42" s="131">
        <f>IFERROR(_xlfn.XLOOKUP(K42,数据更新表!A:A,数据更新表!B:B),"0")</f>
        <v>30</v>
      </c>
      <c r="P42" s="131">
        <f>_xlfn.XLOOKUP(K42,[1]库销表!$F:$F,[1]库销表!$L:$L)</f>
        <v>0</v>
      </c>
      <c r="Q42" s="184" t="e">
        <f t="shared" si="0"/>
        <v>#DIV/0!</v>
      </c>
      <c r="S42" s="128" t="e">
        <f>_xlfn.XLOOKUP(K42,数据更新表!R:R,数据更新表!S:S)</f>
        <v>#N/A</v>
      </c>
      <c r="T42" s="128" t="e">
        <f>_xlfn.XLOOKUP(K42,数据更新表!V:V,数据更新表!W:W)</f>
        <v>#N/A</v>
      </c>
      <c r="V42" s="185" t="str">
        <f t="shared" si="1"/>
        <v>0</v>
      </c>
      <c r="W42" s="158">
        <f t="shared" si="2"/>
        <v>0</v>
      </c>
      <c r="X42" s="158">
        <f t="shared" si="24"/>
        <v>30</v>
      </c>
      <c r="AF42" s="128">
        <f t="shared" si="23"/>
        <v>30</v>
      </c>
      <c r="AJ42" s="128">
        <v>30</v>
      </c>
      <c r="BI42" s="131"/>
      <c r="BR42" s="131"/>
      <c r="BS42" s="131">
        <f>_xlfn.XLOOKUP(K42,[1]库销表!$F:$F,[1]库销表!$L:$L)</f>
        <v>0</v>
      </c>
      <c r="BT42" s="131">
        <f t="shared" si="4"/>
        <v>0</v>
      </c>
      <c r="CW42" s="131">
        <f>_xlfn.XLOOKUP(K42,[1]库销表!$F:$F,[1]库销表!$IE:$IE)</f>
        <v>0</v>
      </c>
      <c r="CX42" s="131">
        <f>_xlfn.XLOOKUP(K42,[1]库销表!$F:$F,[1]库销表!$IF:$IF)</f>
        <v>0</v>
      </c>
      <c r="CY42" s="186">
        <f>_xlfn.XLOOKUP(K42,[1]库销表!$F:$F,[1]库销表!$FL:$FL)</f>
        <v>0</v>
      </c>
      <c r="CZ42" s="131">
        <f>_xlfn.XLOOKUP(K42,数据更新表!E:E,数据更新表!F:F,0)</f>
        <v>0</v>
      </c>
      <c r="DA42" s="131">
        <v>0</v>
      </c>
      <c r="DB42" s="131" t="e">
        <f>_xlfn.XLOOKUP(K42,数据更新表!E:E,数据更新表!G:G)</f>
        <v>#N/A</v>
      </c>
      <c r="DC42" s="187">
        <f>_xlfn.XLOOKUP(L42,数据更新表!Z:Z,数据更新表!AH:AH)</f>
        <v>0</v>
      </c>
      <c r="DD42" s="131">
        <f>_xlfn.XLOOKUP(L42,数据更新表!Z:Z,数据更新表!AE:AE)</f>
        <v>0</v>
      </c>
      <c r="DE42" s="131">
        <f>_xlfn.XLOOKUP(L42,数据更新表!Z:Z,数据更新表!AF:AF)</f>
        <v>0</v>
      </c>
      <c r="DF42" s="131" t="e">
        <f>_xlfn.XLOOKUP(K42,数据更新表!Z:Z,数据更新表!AG:AG)</f>
        <v>#N/A</v>
      </c>
      <c r="DG42" s="128">
        <f>_xlfn.XLOOKUP(L42,数据更新表!Z:Z,数据更新表!AD:AD)</f>
        <v>0</v>
      </c>
      <c r="DH42" s="128">
        <f>_xlfn.XLOOKUP(L42,数据更新表!Z:Z,数据更新表!AA:AA)</f>
        <v>1073</v>
      </c>
      <c r="DI42" s="128">
        <f>_xlfn.XLOOKUP(L42,数据更新表!Z:Z,数据更新表!AB:AB)</f>
        <v>0</v>
      </c>
      <c r="DJ42" s="128" t="str">
        <f>_xlfn.XLOOKUP(L42,数据更新表!Z:Z,数据更新表!AC:AC)</f>
        <v>0.00%</v>
      </c>
      <c r="DK42" s="133" t="str">
        <f>_xlfn.XLOOKUP(L42,数据更新表!Z:Z,数据更新表!AI:AI)</f>
        <v>0.00%</v>
      </c>
      <c r="DL42" s="133" t="str">
        <f>_xlfn.XLOOKUP(L42,数据更新表!AL:AL,数据更新表!AM:AM)</f>
        <v>0.00%</v>
      </c>
      <c r="DM42" s="131">
        <f>_xlfn.XLOOKUP(L42,数据更新表!Z:Z,数据更新表!AJ:AJ)</f>
        <v>0</v>
      </c>
      <c r="DN42" s="187">
        <v>6.6</v>
      </c>
      <c r="DO42" s="188" t="s">
        <v>111</v>
      </c>
      <c r="DP42" s="203" t="s">
        <v>322</v>
      </c>
      <c r="DQ42" s="134">
        <v>46084</v>
      </c>
      <c r="DW42" s="189"/>
      <c r="DX42" s="189"/>
      <c r="DY42" s="189"/>
      <c r="DZ42" s="189"/>
      <c r="ED42" s="189" t="s">
        <v>329</v>
      </c>
      <c r="EE42" s="158">
        <v>229</v>
      </c>
      <c r="EF42" s="190">
        <f t="shared" si="26"/>
        <v>327.142857142857</v>
      </c>
      <c r="EG42" s="158">
        <v>29</v>
      </c>
      <c r="EH42" s="191">
        <f t="shared" si="5"/>
        <v>0.338208951621384</v>
      </c>
      <c r="EI42" s="158">
        <f t="shared" si="6"/>
        <v>75.69</v>
      </c>
      <c r="EJ42" s="190">
        <f t="shared" si="7"/>
        <v>29.42565</v>
      </c>
      <c r="EK42" s="191">
        <f t="shared" si="8"/>
        <v>0.128496288209607</v>
      </c>
      <c r="EL42" s="192">
        <f t="shared" si="18"/>
        <v>11.31435</v>
      </c>
      <c r="EM42" s="158" t="str">
        <f t="shared" si="10"/>
        <v>否</v>
      </c>
      <c r="EN42" s="158">
        <f t="shared" si="11"/>
        <v>11.45</v>
      </c>
      <c r="EO42" s="190">
        <f t="shared" si="12"/>
        <v>40.075</v>
      </c>
      <c r="EP42" s="182">
        <f>IF(EE42&lt;299,IF(EE42&lt;99,25,IF(EE42&lt;=149,30,IF(EE42&lt;=299,37,85))),IF(EE42&lt;=498,_xlfn.XLOOKUP(EW42,运费表!A:A,运费表!C:C,"重量超限",-1),_xlfn.XLOOKUP(EW42,运费表!A:A,运费表!D:D,"重量超限",-1)))</f>
        <v>37</v>
      </c>
      <c r="EQ42" s="182">
        <f t="shared" si="13"/>
        <v>24.045</v>
      </c>
      <c r="ER42" s="158">
        <f>_xlfn.XLOOKUP(K42,[4]目录表!$H:$H,[4]目录表!$X:$X)</f>
        <v>0.18</v>
      </c>
      <c r="ES42" s="158">
        <f>_xlfn.XLOOKUP(K42,[4]目录表!$H:$H,[4]目录表!$Y:$Y)</f>
        <v>8.5</v>
      </c>
      <c r="ET42" s="158">
        <f>_xlfn.XLOOKUP(K42,[4]目录表!$H:$H,[4]目录表!$Z:$Z)</f>
        <v>8.5</v>
      </c>
      <c r="EU42" s="158">
        <f>_xlfn.XLOOKUP(K42,[4]目录表!$H:$H,[4]目录表!$AA:$AA)</f>
        <v>20</v>
      </c>
      <c r="EV42" s="158">
        <f t="shared" si="21"/>
        <v>0.289</v>
      </c>
      <c r="EW42" s="158">
        <f t="shared" si="15"/>
        <v>0.289</v>
      </c>
      <c r="EX42" s="193">
        <f>_xlfn.XLOOKUP(K42,[2]目录表!$H:$H,[2]目录表!$AB:$AB)</f>
        <v>0.001445</v>
      </c>
      <c r="EZ42" s="194">
        <f t="shared" si="25"/>
        <v>0</v>
      </c>
      <c r="FK42" s="128" t="str">
        <f>_xlfn.XLOOKUP(K42,[2]目录表!$H:$H,[2]目录表!$AJ:$AJ)</f>
        <v>散货</v>
      </c>
    </row>
    <row r="43" customHeight="1" spans="2:167">
      <c r="B43" s="200" t="s">
        <v>330</v>
      </c>
      <c r="C43" s="158">
        <v>0</v>
      </c>
      <c r="D43" s="158">
        <v>1</v>
      </c>
      <c r="E43" s="181">
        <v>46006</v>
      </c>
      <c r="G43" s="158" t="s">
        <v>318</v>
      </c>
      <c r="H43" s="203" t="s">
        <v>331</v>
      </c>
      <c r="J43" s="127" t="s">
        <v>332</v>
      </c>
      <c r="K43" s="127" t="s">
        <v>333</v>
      </c>
      <c r="L43" s="128">
        <v>2698952707</v>
      </c>
      <c r="M43" s="189" t="s">
        <v>149</v>
      </c>
      <c r="N43" s="131" t="str">
        <f>_xlfn.XLOOKUP(L43,数据更新表!J:J,数据更新表!K:K)</f>
        <v>--</v>
      </c>
      <c r="O43" s="131">
        <f>IFERROR(_xlfn.XLOOKUP(K43,数据更新表!A:A,数据更新表!B:B),"0")</f>
        <v>30</v>
      </c>
      <c r="P43" s="131">
        <f>_xlfn.XLOOKUP(K43,[1]库销表!$F:$F,[1]库销表!$L:$L)</f>
        <v>0</v>
      </c>
      <c r="Q43" s="184" t="e">
        <f t="shared" si="0"/>
        <v>#DIV/0!</v>
      </c>
      <c r="S43" s="128" t="e">
        <f>_xlfn.XLOOKUP(K43,数据更新表!R:R,数据更新表!S:S)</f>
        <v>#N/A</v>
      </c>
      <c r="T43" s="128" t="e">
        <f>_xlfn.XLOOKUP(K43,数据更新表!V:V,数据更新表!W:W)</f>
        <v>#N/A</v>
      </c>
      <c r="V43" s="185" t="str">
        <f t="shared" si="1"/>
        <v>0</v>
      </c>
      <c r="W43" s="158">
        <f t="shared" si="2"/>
        <v>0</v>
      </c>
      <c r="X43" s="158">
        <f t="shared" si="24"/>
        <v>30</v>
      </c>
      <c r="AF43" s="128">
        <f t="shared" si="23"/>
        <v>30</v>
      </c>
      <c r="AJ43" s="128">
        <v>30</v>
      </c>
      <c r="BI43" s="131"/>
      <c r="BR43" s="131"/>
      <c r="BS43" s="131">
        <f>_xlfn.XLOOKUP(K43,[1]库销表!$F:$F,[1]库销表!$L:$L)</f>
        <v>0</v>
      </c>
      <c r="BT43" s="131">
        <f t="shared" si="4"/>
        <v>0</v>
      </c>
      <c r="CW43" s="131">
        <f>_xlfn.XLOOKUP(K43,[1]库销表!$F:$F,[1]库销表!$IE:$IE)</f>
        <v>0</v>
      </c>
      <c r="CX43" s="131">
        <f>_xlfn.XLOOKUP(K43,[1]库销表!$F:$F,[1]库销表!$IF:$IF)</f>
        <v>0</v>
      </c>
      <c r="CY43" s="186">
        <f>_xlfn.XLOOKUP(K43,[1]库销表!$F:$F,[1]库销表!$FL:$FL)</f>
        <v>0</v>
      </c>
      <c r="CZ43" s="131">
        <f>_xlfn.XLOOKUP(K43,数据更新表!E:E,数据更新表!F:F,0)</f>
        <v>0</v>
      </c>
      <c r="DA43" s="131">
        <v>0</v>
      </c>
      <c r="DB43" s="131" t="e">
        <f>_xlfn.XLOOKUP(K43,数据更新表!E:E,数据更新表!G:G)</f>
        <v>#N/A</v>
      </c>
      <c r="DC43" s="187">
        <f>_xlfn.XLOOKUP(L43,数据更新表!Z:Z,数据更新表!AH:AH)</f>
        <v>0</v>
      </c>
      <c r="DD43" s="131">
        <f>_xlfn.XLOOKUP(L43,数据更新表!Z:Z,数据更新表!AE:AE)</f>
        <v>0</v>
      </c>
      <c r="DE43" s="131">
        <f>_xlfn.XLOOKUP(L43,数据更新表!Z:Z,数据更新表!AF:AF)</f>
        <v>0</v>
      </c>
      <c r="DF43" s="131" t="e">
        <f>_xlfn.XLOOKUP(K43,数据更新表!Z:Z,数据更新表!AG:AG)</f>
        <v>#N/A</v>
      </c>
      <c r="DG43" s="128">
        <f>_xlfn.XLOOKUP(L43,数据更新表!Z:Z,数据更新表!AD:AD)</f>
        <v>0</v>
      </c>
      <c r="DH43" s="128">
        <f>_xlfn.XLOOKUP(L43,数据更新表!Z:Z,数据更新表!AA:AA)</f>
        <v>36</v>
      </c>
      <c r="DI43" s="128">
        <f>_xlfn.XLOOKUP(L43,数据更新表!Z:Z,数据更新表!AB:AB)</f>
        <v>0</v>
      </c>
      <c r="DJ43" s="128" t="str">
        <f>_xlfn.XLOOKUP(L43,数据更新表!Z:Z,数据更新表!AC:AC)</f>
        <v>0.00%</v>
      </c>
      <c r="DK43" s="133" t="str">
        <f>_xlfn.XLOOKUP(L43,数据更新表!Z:Z,数据更新表!AI:AI)</f>
        <v>0.00%</v>
      </c>
      <c r="DL43" s="133" t="str">
        <f>_xlfn.XLOOKUP(L43,数据更新表!AL:AL,数据更新表!AM:AM)</f>
        <v>0.00%</v>
      </c>
      <c r="DM43" s="131">
        <f>_xlfn.XLOOKUP(L43,数据更新表!Z:Z,数据更新表!AJ:AJ)</f>
        <v>0</v>
      </c>
      <c r="DN43" s="187">
        <v>6.6</v>
      </c>
      <c r="DO43" s="188" t="s">
        <v>111</v>
      </c>
      <c r="DP43" s="203" t="s">
        <v>322</v>
      </c>
      <c r="DQ43" s="134">
        <v>46084</v>
      </c>
      <c r="EB43" s="189"/>
      <c r="ED43" s="189" t="s">
        <v>334</v>
      </c>
      <c r="EE43" s="158">
        <v>148</v>
      </c>
      <c r="EF43" s="190">
        <f t="shared" si="26"/>
        <v>211.428571428571</v>
      </c>
      <c r="EG43" s="158">
        <v>15</v>
      </c>
      <c r="EH43" s="191">
        <f t="shared" si="5"/>
        <v>0.37047242261121</v>
      </c>
      <c r="EI43" s="158">
        <f t="shared" si="6"/>
        <v>39.15</v>
      </c>
      <c r="EJ43" s="190">
        <f t="shared" si="7"/>
        <v>18.69565</v>
      </c>
      <c r="EK43" s="191">
        <f t="shared" si="8"/>
        <v>0.126321959459459</v>
      </c>
      <c r="EL43" s="192">
        <f t="shared" si="18"/>
        <v>11.31435</v>
      </c>
      <c r="EM43" s="158" t="str">
        <f t="shared" si="10"/>
        <v>否</v>
      </c>
      <c r="EN43" s="158">
        <f t="shared" si="11"/>
        <v>7.4</v>
      </c>
      <c r="EO43" s="190">
        <f t="shared" si="12"/>
        <v>25.9</v>
      </c>
      <c r="EP43" s="182">
        <f>IF(EE43&lt;299,IF(EE43&lt;99,25,IF(EE43&lt;=149,30,IF(EE43&lt;=299,37,85))),IF(EE43&lt;=498,_xlfn.XLOOKUP(EW43,运费表!A:A,运费表!C:C,"重量超限",-1),_xlfn.XLOOKUP(EW43,运费表!A:A,运费表!D:D,"重量超限",-1)))</f>
        <v>30</v>
      </c>
      <c r="EQ43" s="182">
        <f t="shared" si="13"/>
        <v>15.54</v>
      </c>
      <c r="ER43" s="158">
        <f>_xlfn.XLOOKUP(K43,[4]目录表!$H:$H,[4]目录表!$X:$X)</f>
        <v>0.2</v>
      </c>
      <c r="ES43" s="158">
        <f>_xlfn.XLOOKUP(K43,[4]目录表!$H:$H,[4]目录表!$Y:$Y)</f>
        <v>8.5</v>
      </c>
      <c r="ET43" s="158">
        <f>_xlfn.XLOOKUP(K43,[4]目录表!$H:$H,[4]目录表!$Z:$Z)</f>
        <v>8.5</v>
      </c>
      <c r="EU43" s="158">
        <f>_xlfn.XLOOKUP(K43,[4]目录表!$H:$H,[4]目录表!$AA:$AA)</f>
        <v>20</v>
      </c>
      <c r="EV43" s="158">
        <f t="shared" si="21"/>
        <v>0.289</v>
      </c>
      <c r="EW43" s="158">
        <f t="shared" si="15"/>
        <v>0.289</v>
      </c>
      <c r="EX43" s="193">
        <f>_xlfn.XLOOKUP(K43,[2]目录表!$H:$H,[2]目录表!$AB:$AB)</f>
        <v>0.001445</v>
      </c>
      <c r="EZ43" s="194">
        <f t="shared" si="25"/>
        <v>0</v>
      </c>
      <c r="FK43" s="128" t="str">
        <f>_xlfn.XLOOKUP(K43,[2]目录表!$H:$H,[2]目录表!$AJ:$AJ)</f>
        <v>散货</v>
      </c>
    </row>
    <row r="44" customHeight="1" spans="2:167">
      <c r="B44" s="200" t="s">
        <v>335</v>
      </c>
      <c r="C44" s="158">
        <v>36</v>
      </c>
      <c r="D44" s="158">
        <v>106</v>
      </c>
      <c r="E44" s="181">
        <v>46041</v>
      </c>
      <c r="G44" s="158" t="s">
        <v>336</v>
      </c>
      <c r="H44" s="203" t="s">
        <v>337</v>
      </c>
      <c r="I44" s="203"/>
      <c r="J44" s="203" t="s">
        <v>338</v>
      </c>
      <c r="K44" s="203" t="s">
        <v>339</v>
      </c>
      <c r="L44" s="128">
        <v>2698823949</v>
      </c>
      <c r="M44" s="189" t="s">
        <v>149</v>
      </c>
      <c r="N44" s="131">
        <f>_xlfn.XLOOKUP(L44,数据更新表!J:J,数据更新表!K:K)</f>
        <v>100</v>
      </c>
      <c r="O44" s="131">
        <f>IFERROR(_xlfn.XLOOKUP(K44,数据更新表!A:A,数据更新表!B:B),"0")</f>
        <v>29</v>
      </c>
      <c r="P44" s="131">
        <f>_xlfn.XLOOKUP(K44,[1]库销表!$F:$F,[1]库销表!$L:$L)</f>
        <v>0</v>
      </c>
      <c r="Q44" s="184" t="e">
        <f t="shared" si="0"/>
        <v>#DIV/0!</v>
      </c>
      <c r="S44" s="128" t="e">
        <f>_xlfn.XLOOKUP(K44,数据更新表!R:R,数据更新表!S:S)</f>
        <v>#N/A</v>
      </c>
      <c r="T44" s="128" t="e">
        <f>_xlfn.XLOOKUP(K44,数据更新表!V:V,数据更新表!W:W)</f>
        <v>#N/A</v>
      </c>
      <c r="V44" s="185" t="str">
        <f t="shared" si="1"/>
        <v>0</v>
      </c>
      <c r="W44" s="158">
        <f t="shared" si="2"/>
        <v>0</v>
      </c>
      <c r="X44" s="158">
        <f t="shared" si="24"/>
        <v>29</v>
      </c>
      <c r="AF44" s="128">
        <f t="shared" si="23"/>
        <v>30</v>
      </c>
      <c r="AJ44" s="128">
        <v>30</v>
      </c>
      <c r="BI44" s="131"/>
      <c r="BR44" s="131"/>
      <c r="BS44" s="131">
        <f>_xlfn.XLOOKUP(K44,[1]库销表!$F:$F,[1]库销表!$L:$L)</f>
        <v>0</v>
      </c>
      <c r="BT44" s="131">
        <f t="shared" si="4"/>
        <v>0</v>
      </c>
      <c r="CW44" s="131">
        <f>_xlfn.XLOOKUP(K44,[1]库销表!$F:$F,[1]库销表!$IE:$IE)</f>
        <v>0</v>
      </c>
      <c r="CX44" s="131">
        <f>_xlfn.XLOOKUP(K44,[1]库销表!$F:$F,[1]库销表!$IF:$IF)</f>
        <v>0</v>
      </c>
      <c r="CY44" s="186">
        <f>_xlfn.XLOOKUP(K44,[1]库销表!$F:$F,[1]库销表!$FL:$FL)</f>
        <v>0</v>
      </c>
      <c r="CZ44" s="131">
        <f>_xlfn.XLOOKUP(K44,数据更新表!E:E,数据更新表!F:F,0)</f>
        <v>0</v>
      </c>
      <c r="DA44" s="131">
        <v>0</v>
      </c>
      <c r="DB44" s="131" t="e">
        <f>_xlfn.XLOOKUP(K44,数据更新表!E:E,数据更新表!G:G)</f>
        <v>#N/A</v>
      </c>
      <c r="DC44" s="187">
        <f>_xlfn.XLOOKUP(L44,数据更新表!Z:Z,数据更新表!AH:AH)</f>
        <v>0</v>
      </c>
      <c r="DD44" s="131">
        <f>_xlfn.XLOOKUP(L44,数据更新表!Z:Z,数据更新表!AE:AE)</f>
        <v>0</v>
      </c>
      <c r="DE44" s="131">
        <f>_xlfn.XLOOKUP(L44,数据更新表!Z:Z,数据更新表!AF:AF)</f>
        <v>0</v>
      </c>
      <c r="DF44" s="131" t="e">
        <f>_xlfn.XLOOKUP(K44,数据更新表!Z:Z,数据更新表!AG:AG)</f>
        <v>#N/A</v>
      </c>
      <c r="DG44" s="128">
        <f>_xlfn.XLOOKUP(L44,数据更新表!Z:Z,数据更新表!AD:AD)</f>
        <v>16.7</v>
      </c>
      <c r="DH44" s="128">
        <f>_xlfn.XLOOKUP(L44,数据更新表!Z:Z,数据更新表!AA:AA)</f>
        <v>4176</v>
      </c>
      <c r="DI44" s="128">
        <f>_xlfn.XLOOKUP(L44,数据更新表!Z:Z,数据更新表!AB:AB)</f>
        <v>5</v>
      </c>
      <c r="DJ44" s="128" t="str">
        <f>_xlfn.XLOOKUP(L44,数据更新表!Z:Z,数据更新表!AC:AC)</f>
        <v>0.00%</v>
      </c>
      <c r="DK44" s="133" t="str">
        <f>_xlfn.XLOOKUP(L44,数据更新表!Z:Z,数据更新表!AI:AI)</f>
        <v>0.00%</v>
      </c>
      <c r="DL44" s="133" t="str">
        <f>_xlfn.XLOOKUP(L44,数据更新表!AL:AL,数据更新表!AM:AM)</f>
        <v>11.03%</v>
      </c>
      <c r="DM44" s="131">
        <f>_xlfn.XLOOKUP(L44,数据更新表!Z:Z,数据更新表!AJ:AJ)</f>
        <v>0</v>
      </c>
      <c r="DN44" s="187">
        <v>8</v>
      </c>
      <c r="DO44" s="188" t="s">
        <v>111</v>
      </c>
      <c r="DP44" s="203" t="s">
        <v>340</v>
      </c>
      <c r="DQ44" s="134">
        <v>46084</v>
      </c>
      <c r="EB44" s="197"/>
      <c r="ED44" s="189" t="s">
        <v>341</v>
      </c>
      <c r="EE44" s="158">
        <f>_xlfn.XLOOKUP(L44,数据更新表!J:J,数据更新表!L:L)</f>
        <v>296.57</v>
      </c>
      <c r="EF44" s="190">
        <f t="shared" si="26"/>
        <v>423.671428571429</v>
      </c>
      <c r="EG44" s="158">
        <v>48</v>
      </c>
      <c r="EH44" s="191">
        <f t="shared" si="5"/>
        <v>0.23307760046681</v>
      </c>
      <c r="EI44" s="158">
        <f t="shared" si="6"/>
        <v>125.28</v>
      </c>
      <c r="EJ44" s="190">
        <f t="shared" si="7"/>
        <v>30.56506</v>
      </c>
      <c r="EK44" s="191">
        <f t="shared" si="8"/>
        <v>0.103061874093806</v>
      </c>
      <c r="EL44" s="192">
        <f t="shared" si="18"/>
        <v>5.85684</v>
      </c>
      <c r="EM44" s="158" t="str">
        <f t="shared" si="10"/>
        <v>否</v>
      </c>
      <c r="EN44" s="158">
        <f t="shared" si="11"/>
        <v>14.8285</v>
      </c>
      <c r="EO44" s="190">
        <f t="shared" si="12"/>
        <v>51.89975</v>
      </c>
      <c r="EP44" s="182">
        <f>IF(EE44&lt;299,IF(EE44&lt;99,25,IF(EE44&lt;=149,30,IF(EE44&lt;=299,37,85))),IF(EE44&lt;=498,_xlfn.XLOOKUP(EW44,运费表!A:A,运费表!C:C,"重量超限",-1),_xlfn.XLOOKUP(EW44,运费表!A:A,运费表!D:D,"重量超限",-1)))</f>
        <v>37</v>
      </c>
      <c r="EQ44" s="182">
        <f t="shared" si="13"/>
        <v>31.13985</v>
      </c>
      <c r="ER44" s="158">
        <f>_xlfn.XLOOKUP(K44,[4]目录表!$H:$H,[4]目录表!$X:$X)</f>
        <v>0.405</v>
      </c>
      <c r="ES44" s="158">
        <f>_xlfn.XLOOKUP(K44,[4]目录表!$H:$H,[4]目录表!$Y:$Y)</f>
        <v>17</v>
      </c>
      <c r="ET44" s="158">
        <f>_xlfn.XLOOKUP(K44,[4]目录表!$H:$H,[4]目录表!$Z:$Z)</f>
        <v>8</v>
      </c>
      <c r="EU44" s="158">
        <f>_xlfn.XLOOKUP(K44,[4]目录表!$H:$H,[4]目录表!$AA:$AA)</f>
        <v>5.5</v>
      </c>
      <c r="EV44" s="158">
        <f t="shared" si="21"/>
        <v>0.1496</v>
      </c>
      <c r="EW44" s="158">
        <f t="shared" si="15"/>
        <v>0.405</v>
      </c>
      <c r="EX44" s="193">
        <f>_xlfn.XLOOKUP(K44,[2]目录表!$H:$H,[2]目录表!$AB:$AB)</f>
        <v>0.000748</v>
      </c>
      <c r="EZ44" s="194">
        <f t="shared" si="25"/>
        <v>0</v>
      </c>
      <c r="FK44" s="128" t="str">
        <f>_xlfn.XLOOKUP(K44,[2]目录表!$H:$H,[2]目录表!$AJ:$AJ)</f>
        <v>散货</v>
      </c>
    </row>
    <row r="45" customHeight="1" spans="2:167">
      <c r="B45" s="200" t="s">
        <v>342</v>
      </c>
      <c r="C45" s="158">
        <v>13</v>
      </c>
      <c r="D45" s="158">
        <v>48</v>
      </c>
      <c r="E45" s="181">
        <v>46041</v>
      </c>
      <c r="G45" s="158" t="s">
        <v>336</v>
      </c>
      <c r="H45" s="203" t="s">
        <v>343</v>
      </c>
      <c r="I45" s="203"/>
      <c r="J45" s="203" t="s">
        <v>344</v>
      </c>
      <c r="K45" s="203" t="s">
        <v>345</v>
      </c>
      <c r="L45" s="128">
        <v>2698915223</v>
      </c>
      <c r="M45" s="189" t="s">
        <v>149</v>
      </c>
      <c r="N45" s="131">
        <f>_xlfn.XLOOKUP(L45,数据更新表!J:J,数据更新表!K:K)</f>
        <v>100</v>
      </c>
      <c r="O45" s="131">
        <f>IFERROR(_xlfn.XLOOKUP(K45,数据更新表!A:A,数据更新表!B:B),"0")</f>
        <v>26</v>
      </c>
      <c r="P45" s="131">
        <f>_xlfn.XLOOKUP(K45,[1]库销表!$F:$F,[1]库销表!$L:$L)</f>
        <v>0</v>
      </c>
      <c r="Q45" s="184">
        <f t="shared" si="0"/>
        <v>45.5</v>
      </c>
      <c r="S45" s="128" t="e">
        <f>_xlfn.XLOOKUP(K45,数据更新表!R:R,数据更新表!S:S)</f>
        <v>#N/A</v>
      </c>
      <c r="T45" s="128" t="e">
        <f>_xlfn.XLOOKUP(K45,数据更新表!V:V,数据更新表!W:W)</f>
        <v>#N/A</v>
      </c>
      <c r="V45" s="185">
        <f t="shared" si="1"/>
        <v>45.5</v>
      </c>
      <c r="W45" s="158">
        <f t="shared" si="2"/>
        <v>0.571428571428571</v>
      </c>
      <c r="X45" s="158">
        <f t="shared" si="24"/>
        <v>26</v>
      </c>
      <c r="AF45" s="128">
        <f t="shared" si="23"/>
        <v>30</v>
      </c>
      <c r="AJ45" s="128">
        <v>30</v>
      </c>
      <c r="BI45" s="131"/>
      <c r="BR45" s="131"/>
      <c r="BS45" s="131">
        <f>_xlfn.XLOOKUP(K45,[1]库销表!$F:$F,[1]库销表!$L:$L)</f>
        <v>0</v>
      </c>
      <c r="BT45" s="131">
        <f t="shared" si="4"/>
        <v>0</v>
      </c>
      <c r="CW45" s="131">
        <f>_xlfn.XLOOKUP(K45,[1]库销表!$F:$F,[1]库销表!$IE:$IE)</f>
        <v>0</v>
      </c>
      <c r="CX45" s="131">
        <f>_xlfn.XLOOKUP(K45,[1]库销表!$F:$F,[1]库销表!$IF:$IF)</f>
        <v>0</v>
      </c>
      <c r="CY45" s="186">
        <f>_xlfn.XLOOKUP(K45,[1]库销表!$F:$F,[1]库销表!$FL:$FL)</f>
        <v>0</v>
      </c>
      <c r="CZ45" s="131">
        <f>_xlfn.XLOOKUP(K45,数据更新表!E:E,数据更新表!F:F,0)</f>
        <v>4</v>
      </c>
      <c r="DA45" s="131">
        <v>0</v>
      </c>
      <c r="DB45" s="131">
        <f>_xlfn.XLOOKUP(K45,数据更新表!E:E,数据更新表!G:G)</f>
        <v>1</v>
      </c>
      <c r="DC45" s="187" t="e">
        <f>_xlfn.XLOOKUP(L45,数据更新表!Z:Z,数据更新表!AH:AH)</f>
        <v>#N/A</v>
      </c>
      <c r="DD45" s="131" t="e">
        <f>_xlfn.XLOOKUP(L45,数据更新表!Z:Z,数据更新表!AE:AE)</f>
        <v>#N/A</v>
      </c>
      <c r="DE45" s="131" t="e">
        <f>_xlfn.XLOOKUP(L45,数据更新表!Z:Z,数据更新表!AF:AF)</f>
        <v>#N/A</v>
      </c>
      <c r="DF45" s="131" t="e">
        <f>_xlfn.XLOOKUP(K45,数据更新表!Z:Z,数据更新表!AG:AG)</f>
        <v>#N/A</v>
      </c>
      <c r="DG45" s="128" t="e">
        <f>_xlfn.XLOOKUP(L45,数据更新表!Z:Z,数据更新表!AD:AD)</f>
        <v>#N/A</v>
      </c>
      <c r="DH45" s="128" t="e">
        <f>_xlfn.XLOOKUP(L45,数据更新表!Z:Z,数据更新表!AA:AA)</f>
        <v>#N/A</v>
      </c>
      <c r="DI45" s="128" t="e">
        <f>_xlfn.XLOOKUP(L45,数据更新表!Z:Z,数据更新表!AB:AB)</f>
        <v>#N/A</v>
      </c>
      <c r="DJ45" s="128" t="e">
        <f>_xlfn.XLOOKUP(L45,数据更新表!Z:Z,数据更新表!AC:AC)</f>
        <v>#N/A</v>
      </c>
      <c r="DK45" s="133" t="e">
        <f>_xlfn.XLOOKUP(L45,数据更新表!Z:Z,数据更新表!AI:AI)</f>
        <v>#N/A</v>
      </c>
      <c r="DL45" s="133" t="str">
        <f>_xlfn.XLOOKUP(L45,数据更新表!AL:AL,数据更新表!AM:AM)</f>
        <v>0.11%</v>
      </c>
      <c r="DM45" s="131" t="e">
        <f>_xlfn.XLOOKUP(L45,数据更新表!Z:Z,数据更新表!AJ:AJ)</f>
        <v>#N/A</v>
      </c>
      <c r="DN45" s="187">
        <v>8</v>
      </c>
      <c r="DO45" s="188" t="s">
        <v>111</v>
      </c>
      <c r="DP45" s="203" t="s">
        <v>346</v>
      </c>
      <c r="DQ45" s="134">
        <v>46084</v>
      </c>
      <c r="DW45" s="189"/>
      <c r="EA45" s="128" t="s">
        <v>347</v>
      </c>
      <c r="EB45" s="197"/>
      <c r="ED45" s="189" t="s">
        <v>348</v>
      </c>
      <c r="EE45" s="158">
        <v>249</v>
      </c>
      <c r="EF45" s="190">
        <f t="shared" si="26"/>
        <v>355.714285714286</v>
      </c>
      <c r="EG45" s="158">
        <v>35</v>
      </c>
      <c r="EH45" s="191">
        <f t="shared" si="5"/>
        <v>0.362382094082962</v>
      </c>
      <c r="EI45" s="158">
        <f t="shared" si="6"/>
        <v>91.35</v>
      </c>
      <c r="EJ45" s="190">
        <f t="shared" si="7"/>
        <v>34.53368</v>
      </c>
      <c r="EK45" s="191">
        <f t="shared" si="8"/>
        <v>0.138689477911647</v>
      </c>
      <c r="EL45" s="192">
        <f t="shared" si="18"/>
        <v>3.94632</v>
      </c>
      <c r="EM45" s="158" t="str">
        <f t="shared" si="10"/>
        <v>否</v>
      </c>
      <c r="EN45" s="158">
        <f t="shared" si="11"/>
        <v>12.45</v>
      </c>
      <c r="EO45" s="190">
        <f t="shared" si="12"/>
        <v>43.575</v>
      </c>
      <c r="EP45" s="182">
        <f>IF(EE45&lt;299,IF(EE45&lt;99,25,IF(EE45&lt;=149,30,IF(EE45&lt;=299,37,85))),IF(EE45&lt;=498,_xlfn.XLOOKUP(EW45,运费表!A:A,运费表!C:C,"重量超限",-1),_xlfn.XLOOKUP(EW45,运费表!A:A,运费表!D:D,"重量超限",-1)))</f>
        <v>37</v>
      </c>
      <c r="EQ45" s="182">
        <f t="shared" si="13"/>
        <v>26.145</v>
      </c>
      <c r="ER45" s="158">
        <f>_xlfn.XLOOKUP(K45,[4]目录表!$H:$H,[4]目录表!$X:$X)</f>
        <v>0.145</v>
      </c>
      <c r="ES45" s="158">
        <f>_xlfn.XLOOKUP(K45,[4]目录表!$H:$H,[4]目录表!$Y:$Y)</f>
        <v>6</v>
      </c>
      <c r="ET45" s="158">
        <f>_xlfn.XLOOKUP(K45,[4]目录表!$H:$H,[4]目录表!$Z:$Z)</f>
        <v>6</v>
      </c>
      <c r="EU45" s="158">
        <f>_xlfn.XLOOKUP(K45,[4]目录表!$H:$H,[4]目录表!$AA:$AA)</f>
        <v>14</v>
      </c>
      <c r="EV45" s="158">
        <f t="shared" si="21"/>
        <v>0.1008</v>
      </c>
      <c r="EW45" s="158">
        <f t="shared" si="15"/>
        <v>0.145</v>
      </c>
      <c r="EX45" s="193">
        <f>_xlfn.XLOOKUP(K45,[2]目录表!$H:$H,[2]目录表!$AB:$AB)</f>
        <v>0.000504</v>
      </c>
      <c r="EZ45" s="194">
        <f t="shared" si="25"/>
        <v>0.571428571428571</v>
      </c>
      <c r="FK45" s="128" t="str">
        <f>_xlfn.XLOOKUP(K45,[2]目录表!$H:$H,[2]目录表!$AJ:$AJ)</f>
        <v>散货</v>
      </c>
    </row>
    <row r="46" customHeight="1" spans="2:167">
      <c r="B46" s="200" t="s">
        <v>349</v>
      </c>
      <c r="C46" s="158">
        <v>12</v>
      </c>
      <c r="D46" s="158">
        <v>54</v>
      </c>
      <c r="E46" s="181">
        <v>46037</v>
      </c>
      <c r="G46" s="158" t="s">
        <v>336</v>
      </c>
      <c r="H46" s="203" t="s">
        <v>350</v>
      </c>
      <c r="I46" s="203"/>
      <c r="J46" s="203" t="s">
        <v>351</v>
      </c>
      <c r="K46" s="203" t="s">
        <v>352</v>
      </c>
      <c r="L46" s="128">
        <v>2698981225</v>
      </c>
      <c r="M46" s="189" t="s">
        <v>149</v>
      </c>
      <c r="N46" s="131">
        <f>_xlfn.XLOOKUP(L46,数据更新表!J:J,数据更新表!K:K)</f>
        <v>100</v>
      </c>
      <c r="O46" s="131">
        <f>IFERROR(_xlfn.XLOOKUP(K46,数据更新表!A:A,数据更新表!B:B),"0")</f>
        <v>17</v>
      </c>
      <c r="P46" s="131">
        <f>_xlfn.XLOOKUP(K46,[1]库销表!$F:$F,[1]库销表!$L:$L)</f>
        <v>0</v>
      </c>
      <c r="Q46" s="184">
        <f t="shared" si="0"/>
        <v>17</v>
      </c>
      <c r="S46" s="128" t="e">
        <f>_xlfn.XLOOKUP(K46,数据更新表!R:R,数据更新表!S:S)</f>
        <v>#N/A</v>
      </c>
      <c r="T46" s="128" t="e">
        <f>_xlfn.XLOOKUP(K46,数据更新表!V:V,数据更新表!W:W)</f>
        <v>#N/A</v>
      </c>
      <c r="V46" s="185">
        <f t="shared" si="1"/>
        <v>17</v>
      </c>
      <c r="W46" s="158">
        <f t="shared" si="2"/>
        <v>1</v>
      </c>
      <c r="X46" s="158">
        <f t="shared" si="24"/>
        <v>17</v>
      </c>
      <c r="AF46" s="128">
        <f t="shared" si="23"/>
        <v>30</v>
      </c>
      <c r="AJ46" s="128">
        <v>30</v>
      </c>
      <c r="BI46" s="131"/>
      <c r="BR46" s="131"/>
      <c r="BS46" s="131">
        <f>_xlfn.XLOOKUP(K46,[1]库销表!$F:$F,[1]库销表!$L:$L)</f>
        <v>0</v>
      </c>
      <c r="BT46" s="131">
        <f t="shared" si="4"/>
        <v>0</v>
      </c>
      <c r="CW46" s="131">
        <f>_xlfn.XLOOKUP(K46,[1]库销表!$F:$F,[1]库销表!$IE:$IE)</f>
        <v>0</v>
      </c>
      <c r="CX46" s="131">
        <f>_xlfn.XLOOKUP(K46,[1]库销表!$F:$F,[1]库销表!$IF:$IF)</f>
        <v>0</v>
      </c>
      <c r="CY46" s="186">
        <f>_xlfn.XLOOKUP(K46,[1]库销表!$F:$F,[1]库销表!$FL:$FL)</f>
        <v>0</v>
      </c>
      <c r="CZ46" s="131">
        <f>_xlfn.XLOOKUP(K46,数据更新表!E:E,数据更新表!F:F,0)</f>
        <v>7</v>
      </c>
      <c r="DA46" s="131">
        <v>5</v>
      </c>
      <c r="DB46" s="131">
        <f>_xlfn.XLOOKUP(K46,数据更新表!E:E,数据更新表!G:G)</f>
        <v>1</v>
      </c>
      <c r="DC46" s="187">
        <f>_xlfn.XLOOKUP(L46,数据更新表!Z:Z,数据更新表!AH:AH)</f>
        <v>6</v>
      </c>
      <c r="DD46" s="131">
        <f>_xlfn.XLOOKUP(L46,数据更新表!Z:Z,数据更新表!AE:AE)</f>
        <v>1</v>
      </c>
      <c r="DE46" s="131">
        <f>_xlfn.XLOOKUP(L46,数据更新表!Z:Z,数据更新表!AF:AF)</f>
        <v>1</v>
      </c>
      <c r="DF46" s="131" t="e">
        <f>_xlfn.XLOOKUP(K46,数据更新表!Z:Z,数据更新表!AG:AG)</f>
        <v>#N/A</v>
      </c>
      <c r="DG46" s="128">
        <f>_xlfn.XLOOKUP(L46,数据更新表!Z:Z,数据更新表!AD:AD)</f>
        <v>87.15</v>
      </c>
      <c r="DH46" s="128">
        <f>_xlfn.XLOOKUP(L46,数据更新表!Z:Z,数据更新表!AA:AA)</f>
        <v>3230</v>
      </c>
      <c r="DI46" s="128">
        <f>_xlfn.XLOOKUP(L46,数据更新表!Z:Z,数据更新表!AB:AB)</f>
        <v>14</v>
      </c>
      <c r="DJ46" s="128" t="str">
        <f>_xlfn.XLOOKUP(L46,数据更新表!Z:Z,数据更新表!AC:AC)</f>
        <v>17.58%</v>
      </c>
      <c r="DK46" s="133" t="str">
        <f>_xlfn.XLOOKUP(L46,数据更新表!Z:Z,数据更新表!AI:AI)</f>
        <v>2.51%</v>
      </c>
      <c r="DL46" s="133" t="str">
        <f>_xlfn.XLOOKUP(L46,数据更新表!AL:AL,数据更新表!AM:AM)</f>
        <v>2.43%</v>
      </c>
      <c r="DM46" s="131">
        <f>_xlfn.XLOOKUP(L46,数据更新表!Z:Z,数据更新表!AJ:AJ)</f>
        <v>5.69</v>
      </c>
      <c r="DN46" s="187">
        <v>10</v>
      </c>
      <c r="DO46" s="188" t="s">
        <v>111</v>
      </c>
      <c r="DP46" s="203" t="s">
        <v>353</v>
      </c>
      <c r="DQ46" s="134">
        <v>46084</v>
      </c>
      <c r="ED46" s="189" t="s">
        <v>354</v>
      </c>
      <c r="EE46" s="158">
        <f>_xlfn.XLOOKUP(L46,数据更新表!J:J,数据更新表!L:L)</f>
        <v>495.81</v>
      </c>
      <c r="EF46" s="190">
        <f t="shared" si="26"/>
        <v>708.3</v>
      </c>
      <c r="EG46" s="158">
        <v>65</v>
      </c>
      <c r="EH46" s="191">
        <f t="shared" si="5"/>
        <v>0.6091304142785</v>
      </c>
      <c r="EI46" s="158">
        <f t="shared" si="6"/>
        <v>169.65</v>
      </c>
      <c r="EJ46" s="190">
        <f t="shared" si="7"/>
        <v>105.9145</v>
      </c>
      <c r="EK46" s="191">
        <f t="shared" si="8"/>
        <v>0.213619128295113</v>
      </c>
      <c r="EL46" s="192">
        <f t="shared" si="18"/>
        <v>4.2282</v>
      </c>
      <c r="EM46" s="158" t="str">
        <f t="shared" si="10"/>
        <v>是</v>
      </c>
      <c r="EN46" s="158">
        <f t="shared" si="11"/>
        <v>24.7905</v>
      </c>
      <c r="EO46" s="190">
        <f t="shared" si="12"/>
        <v>86.76675</v>
      </c>
      <c r="EP46" s="182">
        <f>IF(EE46&lt;299,IF(EE46&lt;99,25,IF(EE46&lt;=149,30,IF(EE46&lt;=299,37,85))),IF(EE46&lt;=498,_xlfn.XLOOKUP(EW46,运费表!A:A,运费表!C:C,"重量超限",-1),_xlfn.XLOOKUP(EW46,运费表!A:A,运费表!D:D,"重量超限",-1)))</f>
        <v>52.4</v>
      </c>
      <c r="EQ46" s="182">
        <f t="shared" si="13"/>
        <v>52.06005</v>
      </c>
      <c r="ER46" s="158">
        <f>_xlfn.XLOOKUP(K46,[4]目录表!$H:$H,[4]目录表!$X:$X)</f>
        <v>0.18</v>
      </c>
      <c r="ES46" s="158">
        <f>_xlfn.XLOOKUP(K46,[4]目录表!$H:$H,[4]目录表!$Y:$Y)</f>
        <v>6</v>
      </c>
      <c r="ET46" s="158">
        <f>_xlfn.XLOOKUP(K46,[4]目录表!$H:$H,[4]目录表!$Z:$Z)</f>
        <v>6</v>
      </c>
      <c r="EU46" s="158">
        <f>_xlfn.XLOOKUP(K46,[4]目录表!$H:$H,[4]目录表!$AA:$AA)</f>
        <v>15</v>
      </c>
      <c r="EV46" s="158">
        <f t="shared" si="21"/>
        <v>0.108</v>
      </c>
      <c r="EW46" s="158">
        <f t="shared" si="15"/>
        <v>0.18</v>
      </c>
      <c r="EX46" s="193">
        <f>_xlfn.XLOOKUP(K46,[2]目录表!$H:$H,[2]目录表!$AB:$AB)</f>
        <v>0.00054</v>
      </c>
      <c r="EZ46" s="194">
        <f t="shared" si="25"/>
        <v>1</v>
      </c>
      <c r="FK46" s="128" t="str">
        <f>_xlfn.XLOOKUP(K46,[2]目录表!$H:$H,[2]目录表!$AJ:$AJ)</f>
        <v>散货</v>
      </c>
    </row>
    <row r="47" customHeight="1" spans="2:167">
      <c r="B47" s="200" t="s">
        <v>355</v>
      </c>
      <c r="C47" s="158">
        <v>17</v>
      </c>
      <c r="D47" s="158">
        <v>233</v>
      </c>
      <c r="E47" s="181">
        <v>46045</v>
      </c>
      <c r="F47" s="207"/>
      <c r="G47" s="158" t="s">
        <v>356</v>
      </c>
      <c r="H47" s="203" t="s">
        <v>357</v>
      </c>
      <c r="J47" s="204" t="s">
        <v>358</v>
      </c>
      <c r="K47" s="203" t="s">
        <v>359</v>
      </c>
      <c r="L47" s="128">
        <v>4704500652</v>
      </c>
      <c r="M47" s="189" t="s">
        <v>149</v>
      </c>
      <c r="N47" s="131" t="e">
        <f>_xlfn.XLOOKUP(L47,数据更新表!J:J,数据更新表!K:K)</f>
        <v>#N/A</v>
      </c>
      <c r="O47" s="131">
        <f>IFERROR(_xlfn.XLOOKUP(K47,数据更新表!A:A,数据更新表!B:B),"0")</f>
        <v>0</v>
      </c>
      <c r="P47" s="131">
        <f>_xlfn.XLOOKUP(K47,[1]库销表!$F:$F,[1]库销表!$L:$L)</f>
        <v>30</v>
      </c>
      <c r="Q47" s="184" t="e">
        <f t="shared" si="0"/>
        <v>#DIV/0!</v>
      </c>
      <c r="S47" s="128" t="e">
        <f>_xlfn.XLOOKUP(K47,数据更新表!R:R,数据更新表!S:S)</f>
        <v>#N/A</v>
      </c>
      <c r="T47" s="128" t="e">
        <f>_xlfn.XLOOKUP(K47,数据更新表!V:V,数据更新表!W:W)</f>
        <v>#N/A</v>
      </c>
      <c r="V47" s="185" t="str">
        <f t="shared" si="1"/>
        <v>0</v>
      </c>
      <c r="W47" s="158">
        <f t="shared" si="2"/>
        <v>0</v>
      </c>
      <c r="X47" s="158">
        <f t="shared" si="24"/>
        <v>30</v>
      </c>
      <c r="AF47" s="128">
        <f t="shared" si="23"/>
        <v>0</v>
      </c>
      <c r="BR47" s="131"/>
      <c r="BS47" s="131">
        <f>_xlfn.XLOOKUP(K47,[1]库销表!$F:$F,[1]库销表!$L:$L)</f>
        <v>30</v>
      </c>
      <c r="BT47" s="131">
        <f t="shared" si="4"/>
        <v>0</v>
      </c>
      <c r="CW47" s="131">
        <f>_xlfn.XLOOKUP(K47,[1]库销表!$F:$F,[1]库销表!$IE:$IE)</f>
        <v>0</v>
      </c>
      <c r="CX47" s="131">
        <f>_xlfn.XLOOKUP(K47,[1]库销表!$F:$F,[1]库销表!$IF:$IF)</f>
        <v>0</v>
      </c>
      <c r="CY47" s="186">
        <f>_xlfn.XLOOKUP(K47,[1]库销表!$F:$F,[1]库销表!$FL:$FL)</f>
        <v>0</v>
      </c>
      <c r="CZ47" s="131">
        <f>_xlfn.XLOOKUP(K47,数据更新表!E:E,数据更新表!F:F,0)</f>
        <v>0</v>
      </c>
      <c r="DA47" s="131">
        <v>0</v>
      </c>
      <c r="DB47" s="131" t="e">
        <f>_xlfn.XLOOKUP(K47,数据更新表!E:E,数据更新表!G:G)</f>
        <v>#N/A</v>
      </c>
      <c r="DC47" s="187" t="e">
        <f>_xlfn.XLOOKUP(L47,数据更新表!Z:Z,数据更新表!AH:AH)</f>
        <v>#N/A</v>
      </c>
      <c r="DD47" s="131" t="e">
        <f>_xlfn.XLOOKUP(L47,数据更新表!Z:Z,数据更新表!AE:AE)</f>
        <v>#N/A</v>
      </c>
      <c r="DE47" s="131" t="e">
        <f>_xlfn.XLOOKUP(L47,数据更新表!Z:Z,数据更新表!AF:AF)</f>
        <v>#N/A</v>
      </c>
      <c r="DF47" s="131" t="e">
        <f>_xlfn.XLOOKUP(K47,数据更新表!Z:Z,数据更新表!AG:AG)</f>
        <v>#N/A</v>
      </c>
      <c r="DG47" s="128" t="e">
        <f>_xlfn.XLOOKUP(L47,数据更新表!Z:Z,数据更新表!AD:AD)</f>
        <v>#N/A</v>
      </c>
      <c r="DH47" s="128" t="e">
        <f>_xlfn.XLOOKUP(L47,数据更新表!Z:Z,数据更新表!AA:AA)</f>
        <v>#N/A</v>
      </c>
      <c r="DI47" s="128" t="e">
        <f>_xlfn.XLOOKUP(L47,数据更新表!Z:Z,数据更新表!AB:AB)</f>
        <v>#N/A</v>
      </c>
      <c r="DJ47" s="128" t="e">
        <f>_xlfn.XLOOKUP(L47,数据更新表!Z:Z,数据更新表!AC:AC)</f>
        <v>#N/A</v>
      </c>
      <c r="DK47" s="133" t="e">
        <f>_xlfn.XLOOKUP(L47,数据更新表!Z:Z,数据更新表!AI:AI)</f>
        <v>#N/A</v>
      </c>
      <c r="DL47" s="133" t="e">
        <f>_xlfn.XLOOKUP(L47,数据更新表!AL:AL,数据更新表!AM:AM)</f>
        <v>#N/A</v>
      </c>
      <c r="DM47" s="131" t="e">
        <f>_xlfn.XLOOKUP(L47,数据更新表!Z:Z,数据更新表!AJ:AJ)</f>
        <v>#N/A</v>
      </c>
      <c r="EE47" s="158" t="e">
        <f>_xlfn.XLOOKUP(L47,数据更新表!J:J,数据更新表!L:L)</f>
        <v>#N/A</v>
      </c>
      <c r="EF47" s="190" t="e">
        <f t="shared" si="26"/>
        <v>#N/A</v>
      </c>
      <c r="EG47" s="205">
        <v>33.5</v>
      </c>
      <c r="EH47" s="191" t="e">
        <f t="shared" si="5"/>
        <v>#N/A</v>
      </c>
      <c r="EI47" s="158">
        <f t="shared" si="6"/>
        <v>87.435</v>
      </c>
      <c r="EJ47" s="190" t="e">
        <f t="shared" si="7"/>
        <v>#N/A</v>
      </c>
      <c r="EK47" s="191" t="e">
        <f t="shared" si="8"/>
        <v>#N/A</v>
      </c>
      <c r="EL47" s="192">
        <f t="shared" si="18"/>
        <v>9.396</v>
      </c>
      <c r="EM47" s="158" t="e">
        <f t="shared" si="10"/>
        <v>#N/A</v>
      </c>
      <c r="EN47" s="158" t="e">
        <f t="shared" si="11"/>
        <v>#N/A</v>
      </c>
      <c r="EO47" s="190" t="e">
        <f t="shared" si="12"/>
        <v>#N/A</v>
      </c>
      <c r="EP47" s="182" t="e">
        <f>IF(EE47&lt;299,IF(EE47&lt;99,25,IF(EE47&lt;=149,30,IF(EE47&lt;=299,37,85))),IF(EE47&lt;=498,_xlfn.XLOOKUP(EW47,运费表!A:A,运费表!C:C,"重量超限",-1),_xlfn.XLOOKUP(EW47,运费表!A:A,运费表!D:D,"重量超限",-1)))</f>
        <v>#N/A</v>
      </c>
      <c r="EQ47" s="182" t="e">
        <f t="shared" si="13"/>
        <v>#N/A</v>
      </c>
      <c r="ER47" s="158">
        <f>_xlfn.XLOOKUP(K47,[4]目录表!$H:$H,[4]目录表!$X:$X)</f>
        <v>0.6</v>
      </c>
      <c r="ES47" s="158">
        <f>_xlfn.XLOOKUP(K47,[4]目录表!$H:$H,[4]目录表!$Y:$Y)</f>
        <v>60</v>
      </c>
      <c r="ET47" s="158">
        <f>_xlfn.XLOOKUP(K47,[4]目录表!$H:$H,[4]目录表!$Z:$Z)</f>
        <v>4</v>
      </c>
      <c r="EU47" s="158">
        <f>_xlfn.XLOOKUP(K47,[4]目录表!$H:$H,[4]目录表!$AA:$AA)</f>
        <v>5</v>
      </c>
      <c r="EV47" s="158">
        <f t="shared" si="21"/>
        <v>0.24</v>
      </c>
      <c r="EW47" s="158">
        <f t="shared" si="15"/>
        <v>0.6</v>
      </c>
      <c r="EX47" s="193">
        <f>_xlfn.XLOOKUP(K47,[2]目录表!$H:$H,[2]目录表!$AB:$AB)</f>
        <v>0.0012</v>
      </c>
      <c r="EZ47" s="194">
        <f t="shared" si="25"/>
        <v>0</v>
      </c>
      <c r="FK47" s="128" t="str">
        <f>_xlfn.XLOOKUP(K47,[2]目录表!$H:$H,[2]目录表!$AJ:$AJ)</f>
        <v>散货</v>
      </c>
    </row>
    <row r="48" customHeight="1" spans="2:167">
      <c r="B48" s="200" t="s">
        <v>360</v>
      </c>
      <c r="C48" s="158">
        <v>31</v>
      </c>
      <c r="D48" s="158">
        <v>150</v>
      </c>
      <c r="E48" s="181">
        <v>46045</v>
      </c>
      <c r="G48" s="158" t="s">
        <v>356</v>
      </c>
      <c r="H48" s="203" t="s">
        <v>361</v>
      </c>
      <c r="J48" s="204" t="s">
        <v>362</v>
      </c>
      <c r="K48" s="203" t="s">
        <v>363</v>
      </c>
      <c r="L48" s="128">
        <v>2709120719</v>
      </c>
      <c r="M48" s="189" t="s">
        <v>149</v>
      </c>
      <c r="N48" s="131" t="e">
        <f>_xlfn.XLOOKUP(L48,数据更新表!J:J,数据更新表!K:K)</f>
        <v>#N/A</v>
      </c>
      <c r="O48" s="131">
        <f>IFERROR(_xlfn.XLOOKUP(K48,数据更新表!A:A,数据更新表!B:B),"0")</f>
        <v>0</v>
      </c>
      <c r="P48" s="131">
        <f>_xlfn.XLOOKUP(K48,[1]库销表!$F:$F,[1]库销表!$L:$L)</f>
        <v>30</v>
      </c>
      <c r="Q48" s="184" t="e">
        <f t="shared" si="0"/>
        <v>#DIV/0!</v>
      </c>
      <c r="S48" s="128" t="e">
        <f>_xlfn.XLOOKUP(K48,数据更新表!R:R,数据更新表!S:S)</f>
        <v>#N/A</v>
      </c>
      <c r="T48" s="128" t="e">
        <f>_xlfn.XLOOKUP(K48,数据更新表!V:V,数据更新表!W:W)</f>
        <v>#N/A</v>
      </c>
      <c r="V48" s="185" t="str">
        <f t="shared" si="1"/>
        <v>0</v>
      </c>
      <c r="W48" s="158">
        <f t="shared" si="2"/>
        <v>0</v>
      </c>
      <c r="X48" s="158">
        <f t="shared" si="24"/>
        <v>30</v>
      </c>
      <c r="AF48" s="128">
        <f t="shared" si="23"/>
        <v>0</v>
      </c>
      <c r="BR48" s="131"/>
      <c r="BS48" s="131">
        <f>_xlfn.XLOOKUP(K48,[1]库销表!$F:$F,[1]库销表!$L:$L)</f>
        <v>30</v>
      </c>
      <c r="BT48" s="131">
        <f t="shared" si="4"/>
        <v>0</v>
      </c>
      <c r="CW48" s="131">
        <f>_xlfn.XLOOKUP(K48,[1]库销表!$F:$F,[1]库销表!$IE:$IE)</f>
        <v>0</v>
      </c>
      <c r="CX48" s="131">
        <f>_xlfn.XLOOKUP(K48,[1]库销表!$F:$F,[1]库销表!$IF:$IF)</f>
        <v>0</v>
      </c>
      <c r="CY48" s="186">
        <f>_xlfn.XLOOKUP(K48,[1]库销表!$F:$F,[1]库销表!$FL:$FL)</f>
        <v>0</v>
      </c>
      <c r="CZ48" s="131">
        <f>_xlfn.XLOOKUP(K48,数据更新表!E:E,数据更新表!F:F,0)</f>
        <v>0</v>
      </c>
      <c r="DA48" s="131">
        <v>0</v>
      </c>
      <c r="DB48" s="131" t="e">
        <f>_xlfn.XLOOKUP(K48,数据更新表!E:E,数据更新表!G:G)</f>
        <v>#N/A</v>
      </c>
      <c r="DC48" s="187" t="e">
        <f>_xlfn.XLOOKUP(L48,数据更新表!Z:Z,数据更新表!AH:AH)</f>
        <v>#N/A</v>
      </c>
      <c r="DD48" s="131" t="e">
        <f>_xlfn.XLOOKUP(L48,数据更新表!Z:Z,数据更新表!AE:AE)</f>
        <v>#N/A</v>
      </c>
      <c r="DE48" s="131" t="e">
        <f>_xlfn.XLOOKUP(L48,数据更新表!Z:Z,数据更新表!AF:AF)</f>
        <v>#N/A</v>
      </c>
      <c r="DF48" s="131" t="e">
        <f>_xlfn.XLOOKUP(K48,数据更新表!Z:Z,数据更新表!AG:AG)</f>
        <v>#N/A</v>
      </c>
      <c r="DG48" s="128" t="e">
        <f>_xlfn.XLOOKUP(L48,数据更新表!Z:Z,数据更新表!AD:AD)</f>
        <v>#N/A</v>
      </c>
      <c r="DH48" s="128" t="e">
        <f>_xlfn.XLOOKUP(L48,数据更新表!Z:Z,数据更新表!AA:AA)</f>
        <v>#N/A</v>
      </c>
      <c r="DI48" s="128" t="e">
        <f>_xlfn.XLOOKUP(L48,数据更新表!Z:Z,数据更新表!AB:AB)</f>
        <v>#N/A</v>
      </c>
      <c r="DJ48" s="128" t="e">
        <f>_xlfn.XLOOKUP(L48,数据更新表!Z:Z,数据更新表!AC:AC)</f>
        <v>#N/A</v>
      </c>
      <c r="DK48" s="133" t="e">
        <f>_xlfn.XLOOKUP(L48,数据更新表!Z:Z,数据更新表!AI:AI)</f>
        <v>#N/A</v>
      </c>
      <c r="DL48" s="133" t="e">
        <f>_xlfn.XLOOKUP(L48,数据更新表!AL:AL,数据更新表!AM:AM)</f>
        <v>#N/A</v>
      </c>
      <c r="DM48" s="131" t="e">
        <f>_xlfn.XLOOKUP(L48,数据更新表!Z:Z,数据更新表!AJ:AJ)</f>
        <v>#N/A</v>
      </c>
      <c r="EE48" s="158" t="e">
        <f>_xlfn.XLOOKUP(L48,数据更新表!J:J,数据更新表!L:L)</f>
        <v>#N/A</v>
      </c>
      <c r="EF48" s="190" t="e">
        <f t="shared" si="26"/>
        <v>#N/A</v>
      </c>
      <c r="EG48" s="205">
        <v>27.5</v>
      </c>
      <c r="EH48" s="191" t="e">
        <f t="shared" si="5"/>
        <v>#N/A</v>
      </c>
      <c r="EI48" s="158">
        <f t="shared" si="6"/>
        <v>71.775</v>
      </c>
      <c r="EJ48" s="190" t="e">
        <f t="shared" si="7"/>
        <v>#N/A</v>
      </c>
      <c r="EK48" s="191" t="e">
        <f t="shared" si="8"/>
        <v>#N/A</v>
      </c>
      <c r="EL48" s="192">
        <f t="shared" si="18"/>
        <v>9.396</v>
      </c>
      <c r="EM48" s="158" t="e">
        <f t="shared" si="10"/>
        <v>#N/A</v>
      </c>
      <c r="EN48" s="158" t="e">
        <f t="shared" si="11"/>
        <v>#N/A</v>
      </c>
      <c r="EO48" s="190" t="e">
        <f t="shared" si="12"/>
        <v>#N/A</v>
      </c>
      <c r="EP48" s="182" t="e">
        <f>IF(EE48&lt;299,IF(EE48&lt;99,25,IF(EE48&lt;=149,30,IF(EE48&lt;=299,37,85))),IF(EE48&lt;=498,_xlfn.XLOOKUP(EW48,运费表!A:A,运费表!C:C,"重量超限",-1),_xlfn.XLOOKUP(EW48,运费表!A:A,运费表!D:D,"重量超限",-1)))</f>
        <v>#N/A</v>
      </c>
      <c r="EQ48" s="182" t="e">
        <f t="shared" si="13"/>
        <v>#N/A</v>
      </c>
      <c r="ER48" s="158">
        <f>_xlfn.XLOOKUP(K48,[4]目录表!$H:$H,[4]目录表!$X:$X)</f>
        <v>0.6</v>
      </c>
      <c r="ES48" s="158">
        <f>_xlfn.XLOOKUP(K48,[4]目录表!$H:$H,[4]目录表!$Y:$Y)</f>
        <v>60</v>
      </c>
      <c r="ET48" s="158">
        <f>_xlfn.XLOOKUP(K48,[4]目录表!$H:$H,[4]目录表!$Z:$Z)</f>
        <v>4</v>
      </c>
      <c r="EU48" s="158">
        <f>_xlfn.XLOOKUP(K48,[4]目录表!$H:$H,[4]目录表!$AA:$AA)</f>
        <v>5</v>
      </c>
      <c r="EV48" s="158">
        <f t="shared" si="21"/>
        <v>0.24</v>
      </c>
      <c r="EW48" s="158">
        <f t="shared" si="15"/>
        <v>0.6</v>
      </c>
      <c r="EX48" s="193">
        <f>_xlfn.XLOOKUP(K48,[2]目录表!$H:$H,[2]目录表!$AB:$AB)</f>
        <v>0.0012</v>
      </c>
      <c r="EZ48" s="194">
        <f t="shared" si="25"/>
        <v>0</v>
      </c>
      <c r="FK48" s="128" t="str">
        <f>_xlfn.XLOOKUP(K48,[2]目录表!$H:$H,[2]目录表!$AJ:$AJ)</f>
        <v>散货</v>
      </c>
    </row>
    <row r="49" customHeight="1" spans="2:167">
      <c r="B49" s="200" t="s">
        <v>364</v>
      </c>
      <c r="C49" s="158">
        <v>40</v>
      </c>
      <c r="D49" s="158">
        <v>115</v>
      </c>
      <c r="E49" s="181">
        <v>46037</v>
      </c>
      <c r="G49" s="158" t="s">
        <v>356</v>
      </c>
      <c r="H49" s="203" t="s">
        <v>365</v>
      </c>
      <c r="J49" s="204" t="s">
        <v>366</v>
      </c>
      <c r="K49" s="203" t="s">
        <v>367</v>
      </c>
      <c r="L49" s="128">
        <v>4704295418</v>
      </c>
      <c r="M49" s="189" t="s">
        <v>149</v>
      </c>
      <c r="N49" s="131" t="e">
        <f>_xlfn.XLOOKUP(L49,数据更新表!J:J,数据更新表!K:K)</f>
        <v>#N/A</v>
      </c>
      <c r="O49" s="131">
        <f>IFERROR(_xlfn.XLOOKUP(K49,数据更新表!A:A,数据更新表!B:B),"0")</f>
        <v>0</v>
      </c>
      <c r="P49" s="131">
        <f>_xlfn.XLOOKUP(K49,[1]库销表!$F:$F,[1]库销表!$L:$L)</f>
        <v>30</v>
      </c>
      <c r="Q49" s="184" t="e">
        <f t="shared" si="0"/>
        <v>#DIV/0!</v>
      </c>
      <c r="S49" s="128" t="e">
        <f>_xlfn.XLOOKUP(K49,数据更新表!R:R,数据更新表!S:S)</f>
        <v>#N/A</v>
      </c>
      <c r="T49" s="128" t="e">
        <f>_xlfn.XLOOKUP(K49,数据更新表!V:V,数据更新表!W:W)</f>
        <v>#N/A</v>
      </c>
      <c r="V49" s="185" t="str">
        <f t="shared" si="1"/>
        <v>0</v>
      </c>
      <c r="W49" s="158">
        <f t="shared" si="2"/>
        <v>0</v>
      </c>
      <c r="X49" s="158">
        <f t="shared" si="24"/>
        <v>30</v>
      </c>
      <c r="AF49" s="128">
        <f t="shared" si="23"/>
        <v>0</v>
      </c>
      <c r="BR49" s="131"/>
      <c r="BS49" s="131">
        <f>_xlfn.XLOOKUP(K49,[1]库销表!$F:$F,[1]库销表!$L:$L)</f>
        <v>30</v>
      </c>
      <c r="BT49" s="131">
        <f t="shared" si="4"/>
        <v>0</v>
      </c>
      <c r="CW49" s="131">
        <f>_xlfn.XLOOKUP(K49,[1]库销表!$F:$F,[1]库销表!$IE:$IE)</f>
        <v>0</v>
      </c>
      <c r="CX49" s="131">
        <f>_xlfn.XLOOKUP(K49,[1]库销表!$F:$F,[1]库销表!$IF:$IF)</f>
        <v>0</v>
      </c>
      <c r="CY49" s="186">
        <f>_xlfn.XLOOKUP(K49,[1]库销表!$F:$F,[1]库销表!$FL:$FL)</f>
        <v>0</v>
      </c>
      <c r="CZ49" s="131">
        <f>_xlfn.XLOOKUP(K49,数据更新表!E:E,数据更新表!F:F,0)</f>
        <v>0</v>
      </c>
      <c r="DA49" s="131">
        <v>0</v>
      </c>
      <c r="DB49" s="131" t="e">
        <f>_xlfn.XLOOKUP(K49,数据更新表!E:E,数据更新表!G:G)</f>
        <v>#N/A</v>
      </c>
      <c r="DC49" s="187" t="e">
        <f>_xlfn.XLOOKUP(L49,数据更新表!Z:Z,数据更新表!AH:AH)</f>
        <v>#N/A</v>
      </c>
      <c r="DD49" s="131" t="e">
        <f>_xlfn.XLOOKUP(L49,数据更新表!Z:Z,数据更新表!AE:AE)</f>
        <v>#N/A</v>
      </c>
      <c r="DE49" s="131" t="e">
        <f>_xlfn.XLOOKUP(L49,数据更新表!Z:Z,数据更新表!AF:AF)</f>
        <v>#N/A</v>
      </c>
      <c r="DF49" s="131" t="e">
        <f>_xlfn.XLOOKUP(K49,数据更新表!Z:Z,数据更新表!AG:AG)</f>
        <v>#N/A</v>
      </c>
      <c r="DG49" s="128" t="e">
        <f>_xlfn.XLOOKUP(L49,数据更新表!Z:Z,数据更新表!AD:AD)</f>
        <v>#N/A</v>
      </c>
      <c r="DH49" s="128" t="e">
        <f>_xlfn.XLOOKUP(L49,数据更新表!Z:Z,数据更新表!AA:AA)</f>
        <v>#N/A</v>
      </c>
      <c r="DI49" s="128" t="e">
        <f>_xlfn.XLOOKUP(L49,数据更新表!Z:Z,数据更新表!AB:AB)</f>
        <v>#N/A</v>
      </c>
      <c r="DJ49" s="128" t="e">
        <f>_xlfn.XLOOKUP(L49,数据更新表!Z:Z,数据更新表!AC:AC)</f>
        <v>#N/A</v>
      </c>
      <c r="DK49" s="133" t="e">
        <f>_xlfn.XLOOKUP(L49,数据更新表!Z:Z,数据更新表!AI:AI)</f>
        <v>#N/A</v>
      </c>
      <c r="DL49" s="133" t="e">
        <f>_xlfn.XLOOKUP(L49,数据更新表!AL:AL,数据更新表!AM:AM)</f>
        <v>#N/A</v>
      </c>
      <c r="DM49" s="131" t="e">
        <f>_xlfn.XLOOKUP(L49,数据更新表!Z:Z,数据更新表!AJ:AJ)</f>
        <v>#N/A</v>
      </c>
      <c r="EE49" s="158" t="e">
        <f>_xlfn.XLOOKUP(L49,数据更新表!J:J,数据更新表!L:L)</f>
        <v>#N/A</v>
      </c>
      <c r="EF49" s="190" t="e">
        <f t="shared" si="26"/>
        <v>#N/A</v>
      </c>
      <c r="EG49" s="205">
        <v>23.5</v>
      </c>
      <c r="EH49" s="191" t="e">
        <f t="shared" si="5"/>
        <v>#N/A</v>
      </c>
      <c r="EI49" s="158">
        <f t="shared" si="6"/>
        <v>61.335</v>
      </c>
      <c r="EJ49" s="190" t="e">
        <f t="shared" si="7"/>
        <v>#N/A</v>
      </c>
      <c r="EK49" s="191" t="e">
        <f t="shared" si="8"/>
        <v>#N/A</v>
      </c>
      <c r="EL49" s="192">
        <f t="shared" si="18"/>
        <v>9.396</v>
      </c>
      <c r="EM49" s="158" t="e">
        <f t="shared" si="10"/>
        <v>#N/A</v>
      </c>
      <c r="EN49" s="158" t="e">
        <f t="shared" si="11"/>
        <v>#N/A</v>
      </c>
      <c r="EO49" s="190" t="e">
        <f t="shared" si="12"/>
        <v>#N/A</v>
      </c>
      <c r="EP49" s="182" t="e">
        <f>IF(EE49&lt;299,IF(EE49&lt;99,25,IF(EE49&lt;=149,30,IF(EE49&lt;=299,37,85))),IF(EE49&lt;=498,_xlfn.XLOOKUP(EW49,运费表!A:A,运费表!C:C,"重量超限",-1),_xlfn.XLOOKUP(EW49,运费表!A:A,运费表!D:D,"重量超限",-1)))</f>
        <v>#N/A</v>
      </c>
      <c r="EQ49" s="182" t="e">
        <f t="shared" si="13"/>
        <v>#N/A</v>
      </c>
      <c r="ER49" s="158">
        <f>_xlfn.XLOOKUP(K49,[4]目录表!$H:$H,[4]目录表!$X:$X)</f>
        <v>0.6</v>
      </c>
      <c r="ES49" s="158">
        <f>_xlfn.XLOOKUP(K49,[4]目录表!$H:$H,[4]目录表!$Y:$Y)</f>
        <v>60</v>
      </c>
      <c r="ET49" s="158">
        <f>_xlfn.XLOOKUP(K49,[4]目录表!$H:$H,[4]目录表!$Z:$Z)</f>
        <v>4</v>
      </c>
      <c r="EU49" s="158">
        <f>_xlfn.XLOOKUP(K49,[4]目录表!$H:$H,[4]目录表!$AA:$AA)</f>
        <v>5</v>
      </c>
      <c r="EV49" s="158">
        <f t="shared" si="21"/>
        <v>0.24</v>
      </c>
      <c r="EW49" s="158">
        <f t="shared" si="15"/>
        <v>0.6</v>
      </c>
      <c r="EX49" s="193">
        <f>_xlfn.XLOOKUP(K49,[2]目录表!$H:$H,[2]目录表!$AB:$AB)</f>
        <v>0.0012</v>
      </c>
      <c r="EZ49" s="194">
        <f t="shared" si="25"/>
        <v>0</v>
      </c>
      <c r="FK49" s="128" t="str">
        <f>_xlfn.XLOOKUP(K49,[2]目录表!$H:$H,[2]目录表!$AJ:$AJ)</f>
        <v>散货</v>
      </c>
    </row>
    <row r="50" customHeight="1" spans="2:167">
      <c r="B50" s="200" t="s">
        <v>368</v>
      </c>
      <c r="C50" s="158">
        <v>19</v>
      </c>
      <c r="D50" s="158">
        <v>116</v>
      </c>
      <c r="E50" s="181">
        <v>46045</v>
      </c>
      <c r="G50" s="158" t="s">
        <v>356</v>
      </c>
      <c r="H50" s="203" t="s">
        <v>369</v>
      </c>
      <c r="J50" s="204" t="s">
        <v>370</v>
      </c>
      <c r="K50" s="203" t="s">
        <v>371</v>
      </c>
      <c r="L50" s="128">
        <v>4704541614</v>
      </c>
      <c r="M50" s="189" t="s">
        <v>149</v>
      </c>
      <c r="N50" s="131" t="e">
        <f>_xlfn.XLOOKUP(L50,数据更新表!J:J,数据更新表!K:K)</f>
        <v>#N/A</v>
      </c>
      <c r="O50" s="131">
        <f>IFERROR(_xlfn.XLOOKUP(K50,数据更新表!A:A,数据更新表!B:B),"0")</f>
        <v>0</v>
      </c>
      <c r="P50" s="131">
        <f>_xlfn.XLOOKUP(K50,[1]库销表!$F:$F,[1]库销表!$L:$L)</f>
        <v>30</v>
      </c>
      <c r="Q50" s="184" t="e">
        <f t="shared" si="0"/>
        <v>#DIV/0!</v>
      </c>
      <c r="S50" s="128" t="e">
        <f>_xlfn.XLOOKUP(K50,数据更新表!R:R,数据更新表!S:S)</f>
        <v>#N/A</v>
      </c>
      <c r="T50" s="128" t="e">
        <f>_xlfn.XLOOKUP(K50,数据更新表!V:V,数据更新表!W:W)</f>
        <v>#N/A</v>
      </c>
      <c r="V50" s="185" t="str">
        <f t="shared" si="1"/>
        <v>0</v>
      </c>
      <c r="W50" s="158">
        <f t="shared" si="2"/>
        <v>0</v>
      </c>
      <c r="X50" s="158">
        <f t="shared" si="24"/>
        <v>30</v>
      </c>
      <c r="AF50" s="128">
        <f t="shared" si="23"/>
        <v>0</v>
      </c>
      <c r="BR50" s="131"/>
      <c r="BS50" s="131">
        <f>_xlfn.XLOOKUP(K50,[1]库销表!$F:$F,[1]库销表!$L:$L)</f>
        <v>30</v>
      </c>
      <c r="BT50" s="131">
        <f t="shared" si="4"/>
        <v>0</v>
      </c>
      <c r="CW50" s="131">
        <f>_xlfn.XLOOKUP(K50,[1]库销表!$F:$F,[1]库销表!$IE:$IE)</f>
        <v>0</v>
      </c>
      <c r="CX50" s="131">
        <f>_xlfn.XLOOKUP(K50,[1]库销表!$F:$F,[1]库销表!$IF:$IF)</f>
        <v>0</v>
      </c>
      <c r="CY50" s="186">
        <f>_xlfn.XLOOKUP(K50,[1]库销表!$F:$F,[1]库销表!$FL:$FL)</f>
        <v>0</v>
      </c>
      <c r="CZ50" s="131">
        <f>_xlfn.XLOOKUP(K50,数据更新表!E:E,数据更新表!F:F,0)</f>
        <v>0</v>
      </c>
      <c r="DA50" s="131">
        <v>0</v>
      </c>
      <c r="DB50" s="131" t="e">
        <f>_xlfn.XLOOKUP(K50,数据更新表!E:E,数据更新表!G:G)</f>
        <v>#N/A</v>
      </c>
      <c r="DC50" s="187" t="e">
        <f>_xlfn.XLOOKUP(L50,数据更新表!Z:Z,数据更新表!AH:AH)</f>
        <v>#N/A</v>
      </c>
      <c r="DD50" s="131" t="e">
        <f>_xlfn.XLOOKUP(L50,数据更新表!Z:Z,数据更新表!AE:AE)</f>
        <v>#N/A</v>
      </c>
      <c r="DE50" s="131" t="e">
        <f>_xlfn.XLOOKUP(L50,数据更新表!Z:Z,数据更新表!AF:AF)</f>
        <v>#N/A</v>
      </c>
      <c r="DF50" s="131" t="e">
        <f>_xlfn.XLOOKUP(K50,数据更新表!Z:Z,数据更新表!AG:AG)</f>
        <v>#N/A</v>
      </c>
      <c r="DG50" s="128" t="e">
        <f>_xlfn.XLOOKUP(L50,数据更新表!Z:Z,数据更新表!AD:AD)</f>
        <v>#N/A</v>
      </c>
      <c r="DH50" s="128" t="e">
        <f>_xlfn.XLOOKUP(L50,数据更新表!Z:Z,数据更新表!AA:AA)</f>
        <v>#N/A</v>
      </c>
      <c r="DI50" s="128" t="e">
        <f>_xlfn.XLOOKUP(L50,数据更新表!Z:Z,数据更新表!AB:AB)</f>
        <v>#N/A</v>
      </c>
      <c r="DJ50" s="128" t="e">
        <f>_xlfn.XLOOKUP(L50,数据更新表!Z:Z,数据更新表!AC:AC)</f>
        <v>#N/A</v>
      </c>
      <c r="DK50" s="133" t="e">
        <f>_xlfn.XLOOKUP(L50,数据更新表!Z:Z,数据更新表!AI:AI)</f>
        <v>#N/A</v>
      </c>
      <c r="DL50" s="133" t="e">
        <f>_xlfn.XLOOKUP(L50,数据更新表!AL:AL,数据更新表!AM:AM)</f>
        <v>#N/A</v>
      </c>
      <c r="DM50" s="131" t="e">
        <f>_xlfn.XLOOKUP(L50,数据更新表!Z:Z,数据更新表!AJ:AJ)</f>
        <v>#N/A</v>
      </c>
      <c r="EE50" s="158" t="e">
        <f>_xlfn.XLOOKUP(L50,数据更新表!J:J,数据更新表!L:L)</f>
        <v>#N/A</v>
      </c>
      <c r="EF50" s="190" t="e">
        <f t="shared" si="26"/>
        <v>#N/A</v>
      </c>
      <c r="EG50" s="205">
        <v>27.5</v>
      </c>
      <c r="EH50" s="191" t="e">
        <f t="shared" si="5"/>
        <v>#N/A</v>
      </c>
      <c r="EI50" s="158">
        <f t="shared" si="6"/>
        <v>71.775</v>
      </c>
      <c r="EJ50" s="190" t="e">
        <f t="shared" si="7"/>
        <v>#N/A</v>
      </c>
      <c r="EK50" s="191" t="e">
        <f t="shared" si="8"/>
        <v>#N/A</v>
      </c>
      <c r="EL50" s="192">
        <f t="shared" si="18"/>
        <v>9.396</v>
      </c>
      <c r="EM50" s="158" t="e">
        <f t="shared" si="10"/>
        <v>#N/A</v>
      </c>
      <c r="EN50" s="158" t="e">
        <f t="shared" si="11"/>
        <v>#N/A</v>
      </c>
      <c r="EO50" s="190" t="e">
        <f t="shared" si="12"/>
        <v>#N/A</v>
      </c>
      <c r="EP50" s="182" t="e">
        <f>IF(EE50&lt;299,IF(EE50&lt;99,25,IF(EE50&lt;=149,30,IF(EE50&lt;=299,37,85))),IF(EE50&lt;=498,_xlfn.XLOOKUP(EW50,运费表!A:A,运费表!C:C,"重量超限",-1),_xlfn.XLOOKUP(EW50,运费表!A:A,运费表!D:D,"重量超限",-1)))</f>
        <v>#N/A</v>
      </c>
      <c r="EQ50" s="182" t="e">
        <f t="shared" si="13"/>
        <v>#N/A</v>
      </c>
      <c r="ER50" s="158">
        <f>_xlfn.XLOOKUP(K50,[4]目录表!$H:$H,[4]目录表!$X:$X)</f>
        <v>0.6</v>
      </c>
      <c r="ES50" s="158">
        <f>_xlfn.XLOOKUP(K50,[4]目录表!$H:$H,[4]目录表!$Y:$Y)</f>
        <v>60</v>
      </c>
      <c r="ET50" s="158">
        <f>_xlfn.XLOOKUP(K50,[4]目录表!$H:$H,[4]目录表!$Z:$Z)</f>
        <v>4</v>
      </c>
      <c r="EU50" s="158">
        <f>_xlfn.XLOOKUP(K50,[4]目录表!$H:$H,[4]目录表!$AA:$AA)</f>
        <v>5</v>
      </c>
      <c r="EV50" s="158">
        <f t="shared" si="21"/>
        <v>0.24</v>
      </c>
      <c r="EW50" s="158">
        <f t="shared" si="15"/>
        <v>0.6</v>
      </c>
      <c r="EX50" s="193">
        <f>_xlfn.XLOOKUP(K50,[2]目录表!$H:$H,[2]目录表!$AB:$AB)</f>
        <v>0.0012</v>
      </c>
      <c r="EZ50" s="194">
        <f t="shared" si="25"/>
        <v>0</v>
      </c>
      <c r="FK50" s="128" t="str">
        <f>_xlfn.XLOOKUP(K50,[2]目录表!$H:$H,[2]目录表!$AJ:$AJ)</f>
        <v>散货</v>
      </c>
    </row>
    <row r="51" customHeight="1" spans="2:167">
      <c r="B51" s="208" t="s">
        <v>372</v>
      </c>
      <c r="C51" s="158">
        <v>15</v>
      </c>
      <c r="D51" s="158">
        <v>30</v>
      </c>
      <c r="E51" s="181" t="e">
        <f>_xlfn.XLOOKUP(K51,[3]工业配件!$AA:$AA,[3]工业配件!$L:$L)</f>
        <v>#N/A</v>
      </c>
      <c r="G51" s="158" t="s">
        <v>373</v>
      </c>
      <c r="H51" s="203" t="s">
        <v>374</v>
      </c>
      <c r="J51" s="203" t="s">
        <v>375</v>
      </c>
      <c r="K51" s="203" t="s">
        <v>376</v>
      </c>
      <c r="M51" s="189" t="s">
        <v>183</v>
      </c>
      <c r="N51" s="131">
        <f>_xlfn.XLOOKUP(L51,数据更新表!J:J,数据更新表!K:K)</f>
        <v>0</v>
      </c>
      <c r="O51" s="131" t="str">
        <f>IFERROR(_xlfn.XLOOKUP(K51,数据更新表!A:A,数据更新表!B:B),"0")</f>
        <v>0</v>
      </c>
      <c r="P51" s="131">
        <f>_xlfn.XLOOKUP(K51,[1]库销表!$F:$F,[1]库销表!$L:$L)</f>
        <v>0</v>
      </c>
      <c r="Q51" s="184" t="e">
        <f t="shared" si="0"/>
        <v>#DIV/0!</v>
      </c>
      <c r="S51" s="128" t="e">
        <f>_xlfn.XLOOKUP(K51,数据更新表!R:R,数据更新表!S:S)</f>
        <v>#N/A</v>
      </c>
      <c r="T51" s="128" t="e">
        <f>_xlfn.XLOOKUP(K51,数据更新表!V:V,数据更新表!W:W)</f>
        <v>#N/A</v>
      </c>
      <c r="V51" s="185" t="str">
        <f t="shared" si="1"/>
        <v>0</v>
      </c>
      <c r="W51" s="158">
        <f t="shared" si="2"/>
        <v>0</v>
      </c>
      <c r="X51" s="158">
        <f t="shared" si="24"/>
        <v>0</v>
      </c>
      <c r="AF51" s="128">
        <f t="shared" si="23"/>
        <v>0</v>
      </c>
      <c r="BR51" s="131"/>
      <c r="BS51" s="131">
        <f>_xlfn.XLOOKUP(K51,[1]库销表!$F:$F,[1]库销表!$L:$L)</f>
        <v>0</v>
      </c>
      <c r="BT51" s="131">
        <f t="shared" si="4"/>
        <v>0</v>
      </c>
      <c r="CW51" s="131">
        <f>_xlfn.XLOOKUP(K51,[1]库销表!$F:$F,[1]库销表!$IE:$IE)</f>
        <v>0</v>
      </c>
      <c r="CX51" s="131">
        <f>_xlfn.XLOOKUP(K51,[1]库销表!$F:$F,[1]库销表!$IF:$IF)</f>
        <v>0</v>
      </c>
      <c r="CY51" s="186">
        <f>_xlfn.XLOOKUP(K51,[1]库销表!$F:$F,[1]库销表!$FL:$FL)</f>
        <v>0</v>
      </c>
      <c r="CZ51" s="131">
        <f>_xlfn.XLOOKUP(K51,数据更新表!E:E,数据更新表!F:F,0)</f>
        <v>0</v>
      </c>
      <c r="DA51" s="131">
        <v>0</v>
      </c>
      <c r="DB51" s="131" t="e">
        <f>_xlfn.XLOOKUP(K51,数据更新表!E:E,数据更新表!G:G)</f>
        <v>#N/A</v>
      </c>
      <c r="DC51" s="187">
        <f>_xlfn.XLOOKUP(L51,数据更新表!Z:Z,数据更新表!AH:AH)</f>
        <v>0</v>
      </c>
      <c r="DD51" s="131">
        <f>_xlfn.XLOOKUP(L51,数据更新表!Z:Z,数据更新表!AE:AE)</f>
        <v>0</v>
      </c>
      <c r="DE51" s="131">
        <f>_xlfn.XLOOKUP(L51,数据更新表!Z:Z,数据更新表!AF:AF)</f>
        <v>0</v>
      </c>
      <c r="DF51" s="131" t="e">
        <f>_xlfn.XLOOKUP(K51,数据更新表!Z:Z,数据更新表!AG:AG)</f>
        <v>#N/A</v>
      </c>
      <c r="DG51" s="128">
        <f>_xlfn.XLOOKUP(L51,数据更新表!Z:Z,数据更新表!AD:AD)</f>
        <v>0</v>
      </c>
      <c r="DH51" s="128">
        <f>_xlfn.XLOOKUP(L51,数据更新表!Z:Z,数据更新表!AA:AA)</f>
        <v>0</v>
      </c>
      <c r="DI51" s="128">
        <f>_xlfn.XLOOKUP(L51,数据更新表!Z:Z,数据更新表!AB:AB)</f>
        <v>0</v>
      </c>
      <c r="DJ51" s="128">
        <f>_xlfn.XLOOKUP(L51,数据更新表!Z:Z,数据更新表!AC:AC)</f>
        <v>0</v>
      </c>
      <c r="DK51" s="133">
        <f>_xlfn.XLOOKUP(L51,数据更新表!Z:Z,数据更新表!AI:AI)</f>
        <v>0</v>
      </c>
      <c r="DL51" s="133">
        <f>_xlfn.XLOOKUP(L51,数据更新表!AL:AL,数据更新表!AM:AM)</f>
        <v>0</v>
      </c>
      <c r="DM51" s="131">
        <f>_xlfn.XLOOKUP(L51,数据更新表!Z:Z,数据更新表!AJ:AJ)</f>
        <v>0</v>
      </c>
      <c r="EE51" s="158">
        <f>_xlfn.XLOOKUP(L51,数据更新表!J:J,数据更新表!L:L)</f>
        <v>0</v>
      </c>
      <c r="EF51" s="158">
        <f>_xlfn.XLOOKUP(L51,数据更新表!J:J,数据更新表!M:M)</f>
        <v>0</v>
      </c>
      <c r="EG51" s="128">
        <v>140</v>
      </c>
      <c r="EH51" s="191">
        <f t="shared" si="5"/>
        <v>-1.03958338022263</v>
      </c>
      <c r="EI51" s="158">
        <f t="shared" si="6"/>
        <v>365.4</v>
      </c>
      <c r="EJ51" s="190">
        <f t="shared" si="7"/>
        <v>-656.57819921875</v>
      </c>
      <c r="EK51" s="191" t="e">
        <f t="shared" si="8"/>
        <v>#DIV/0!</v>
      </c>
      <c r="EL51" s="192">
        <f t="shared" ref="EL51:EL72" si="27">EX51*2500*$EI$1</f>
        <v>266.17819921875</v>
      </c>
      <c r="EM51" s="158" t="str">
        <f t="shared" si="10"/>
        <v>否</v>
      </c>
      <c r="EN51" s="158">
        <f t="shared" si="11"/>
        <v>0</v>
      </c>
      <c r="EO51" s="190">
        <f t="shared" si="12"/>
        <v>0</v>
      </c>
      <c r="EP51" s="182">
        <f>IF(EE51&lt;299,IF(EE51&lt;99,25,IF(EE51&lt;=149,30,IF(EE51&lt;=299,37,85))),IF(EE51&lt;=498,_xlfn.XLOOKUP(EW51,运费表!A:A,运费表!C:C,"重量超限",-1),_xlfn.XLOOKUP(EW51,运费表!A:A,运费表!D:D,"重量超限",-1)))</f>
        <v>25</v>
      </c>
      <c r="EQ51" s="182">
        <f t="shared" si="13"/>
        <v>0</v>
      </c>
      <c r="ER51" s="158">
        <f>_xlfn.XLOOKUP(K51,[4]目录表!$H:$H,[4]目录表!$X:$X)</f>
        <v>9</v>
      </c>
      <c r="ES51" s="158">
        <f>_xlfn.XLOOKUP(K51,[4]目录表!$H:$H,[4]目录表!$Y:$Y)</f>
        <v>0</v>
      </c>
      <c r="ET51" s="158">
        <f>_xlfn.XLOOKUP(K51,[4]目录表!$H:$H,[4]目录表!$Z:$Z)</f>
        <v>0</v>
      </c>
      <c r="EU51" s="158">
        <f>_xlfn.XLOOKUP(K51,[4]目录表!$H:$H,[4]目录表!$AA:$AA)</f>
        <v>0</v>
      </c>
      <c r="EV51" s="158">
        <f t="shared" si="21"/>
        <v>0</v>
      </c>
      <c r="EW51" s="158">
        <f t="shared" si="15"/>
        <v>9</v>
      </c>
      <c r="EX51" s="193">
        <f>_xlfn.XLOOKUP(K51,[2]目录表!$H:$H,[2]目录表!$AB:$AB)</f>
        <v>0.04079359375</v>
      </c>
      <c r="EY51" s="189" t="s">
        <v>377</v>
      </c>
      <c r="EZ51" s="194">
        <f t="shared" si="25"/>
        <v>0</v>
      </c>
      <c r="FK51" s="128" t="str">
        <f>_xlfn.XLOOKUP(K51,[2]目录表!$H:$H,[2]目录表!$AJ:$AJ)</f>
        <v>装柜</v>
      </c>
    </row>
    <row r="52" customHeight="1" spans="2:167">
      <c r="B52" s="208" t="s">
        <v>378</v>
      </c>
      <c r="C52" s="158">
        <v>5</v>
      </c>
      <c r="D52" s="158">
        <v>28</v>
      </c>
      <c r="E52" s="181" t="e">
        <f>_xlfn.XLOOKUP(K52,[3]工业配件!$AA:$AA,[3]工业配件!$L:$L)</f>
        <v>#N/A</v>
      </c>
      <c r="G52" s="158" t="s">
        <v>373</v>
      </c>
      <c r="H52" s="203" t="s">
        <v>379</v>
      </c>
      <c r="J52" s="203" t="s">
        <v>380</v>
      </c>
      <c r="K52" s="203" t="s">
        <v>381</v>
      </c>
      <c r="M52" s="189" t="s">
        <v>183</v>
      </c>
      <c r="N52" s="131">
        <f>_xlfn.XLOOKUP(L52,数据更新表!J:J,数据更新表!K:K)</f>
        <v>0</v>
      </c>
      <c r="O52" s="131" t="str">
        <f>IFERROR(_xlfn.XLOOKUP(K52,数据更新表!A:A,数据更新表!B:B),"0")</f>
        <v>0</v>
      </c>
      <c r="P52" s="131">
        <f>_xlfn.XLOOKUP(K52,[1]库销表!$F:$F,[1]库销表!$L:$L)</f>
        <v>0</v>
      </c>
      <c r="Q52" s="184" t="e">
        <f t="shared" si="0"/>
        <v>#DIV/0!</v>
      </c>
      <c r="S52" s="128" t="e">
        <f>_xlfn.XLOOKUP(K52,数据更新表!R:R,数据更新表!S:S)</f>
        <v>#N/A</v>
      </c>
      <c r="T52" s="128" t="e">
        <f>_xlfn.XLOOKUP(K52,数据更新表!V:V,数据更新表!W:W)</f>
        <v>#N/A</v>
      </c>
      <c r="V52" s="185" t="str">
        <f t="shared" si="1"/>
        <v>0</v>
      </c>
      <c r="W52" s="158">
        <f t="shared" si="2"/>
        <v>0</v>
      </c>
      <c r="X52" s="158">
        <f t="shared" si="24"/>
        <v>0</v>
      </c>
      <c r="AF52" s="128">
        <f t="shared" si="23"/>
        <v>0</v>
      </c>
      <c r="BR52" s="131"/>
      <c r="BS52" s="131">
        <f>_xlfn.XLOOKUP(K52,[1]库销表!$F:$F,[1]库销表!$L:$L)</f>
        <v>0</v>
      </c>
      <c r="BT52" s="131">
        <f t="shared" si="4"/>
        <v>0</v>
      </c>
      <c r="CW52" s="131">
        <f>_xlfn.XLOOKUP(K52,[1]库销表!$F:$F,[1]库销表!$IE:$IE)</f>
        <v>0</v>
      </c>
      <c r="CX52" s="131">
        <f>_xlfn.XLOOKUP(K52,[1]库销表!$F:$F,[1]库销表!$IF:$IF)</f>
        <v>0</v>
      </c>
      <c r="CY52" s="186">
        <f>_xlfn.XLOOKUP(K52,[1]库销表!$F:$F,[1]库销表!$FL:$FL)</f>
        <v>0</v>
      </c>
      <c r="CZ52" s="131">
        <f>_xlfn.XLOOKUP(K52,数据更新表!E:E,数据更新表!F:F,0)</f>
        <v>0</v>
      </c>
      <c r="DA52" s="131">
        <v>0</v>
      </c>
      <c r="DB52" s="131" t="e">
        <f>_xlfn.XLOOKUP(K52,数据更新表!E:E,数据更新表!G:G)</f>
        <v>#N/A</v>
      </c>
      <c r="DC52" s="187">
        <f>_xlfn.XLOOKUP(L52,数据更新表!Z:Z,数据更新表!AH:AH)</f>
        <v>0</v>
      </c>
      <c r="DD52" s="131">
        <f>_xlfn.XLOOKUP(L52,数据更新表!Z:Z,数据更新表!AE:AE)</f>
        <v>0</v>
      </c>
      <c r="DE52" s="131">
        <f>_xlfn.XLOOKUP(L52,数据更新表!Z:Z,数据更新表!AF:AF)</f>
        <v>0</v>
      </c>
      <c r="DF52" s="131" t="e">
        <f>_xlfn.XLOOKUP(K52,数据更新表!Z:Z,数据更新表!AG:AG)</f>
        <v>#N/A</v>
      </c>
      <c r="DG52" s="128">
        <f>_xlfn.XLOOKUP(L52,数据更新表!Z:Z,数据更新表!AD:AD)</f>
        <v>0</v>
      </c>
      <c r="DH52" s="128">
        <f>_xlfn.XLOOKUP(L52,数据更新表!Z:Z,数据更新表!AA:AA)</f>
        <v>0</v>
      </c>
      <c r="DI52" s="128">
        <f>_xlfn.XLOOKUP(L52,数据更新表!Z:Z,数据更新表!AB:AB)</f>
        <v>0</v>
      </c>
      <c r="DJ52" s="128">
        <f>_xlfn.XLOOKUP(L52,数据更新表!Z:Z,数据更新表!AC:AC)</f>
        <v>0</v>
      </c>
      <c r="DK52" s="133">
        <f>_xlfn.XLOOKUP(L52,数据更新表!Z:Z,数据更新表!AI:AI)</f>
        <v>0</v>
      </c>
      <c r="DL52" s="133">
        <f>_xlfn.XLOOKUP(L52,数据更新表!AL:AL,数据更新表!AM:AM)</f>
        <v>0</v>
      </c>
      <c r="DM52" s="131">
        <f>_xlfn.XLOOKUP(L52,数据更新表!Z:Z,数据更新表!AJ:AJ)</f>
        <v>0</v>
      </c>
      <c r="EE52" s="158">
        <f>_xlfn.XLOOKUP(L52,数据更新表!J:J,数据更新表!L:L)</f>
        <v>0</v>
      </c>
      <c r="EF52" s="158">
        <f>_xlfn.XLOOKUP(L52,数据更新表!J:J,数据更新表!M:M)</f>
        <v>0</v>
      </c>
      <c r="EG52" s="128">
        <v>130</v>
      </c>
      <c r="EH52" s="191">
        <f t="shared" si="5"/>
        <v>-1.03917529827032</v>
      </c>
      <c r="EI52" s="158">
        <f t="shared" si="6"/>
        <v>339.3</v>
      </c>
      <c r="EJ52" s="190">
        <f t="shared" si="7"/>
        <v>-663.157234375</v>
      </c>
      <c r="EK52" s="191" t="e">
        <f t="shared" si="8"/>
        <v>#DIV/0!</v>
      </c>
      <c r="EL52" s="192">
        <f t="shared" si="27"/>
        <v>298.857234375</v>
      </c>
      <c r="EM52" s="158" t="str">
        <f t="shared" si="10"/>
        <v>否</v>
      </c>
      <c r="EN52" s="158">
        <f t="shared" si="11"/>
        <v>0</v>
      </c>
      <c r="EO52" s="190">
        <f t="shared" si="12"/>
        <v>0</v>
      </c>
      <c r="EP52" s="182">
        <f>IF(EE52&lt;299,IF(EE52&lt;99,25,IF(EE52&lt;=149,30,IF(EE52&lt;=299,37,85))),IF(EE52&lt;=498,_xlfn.XLOOKUP(EW52,运费表!A:A,运费表!C:C,"重量超限",-1),_xlfn.XLOOKUP(EW52,运费表!A:A,运费表!D:D,"重量超限",-1)))</f>
        <v>25</v>
      </c>
      <c r="EQ52" s="182">
        <f t="shared" si="13"/>
        <v>0</v>
      </c>
      <c r="ER52" s="158">
        <f>_xlfn.XLOOKUP(K52,[4]目录表!$H:$H,[4]目录表!$X:$X)</f>
        <v>9</v>
      </c>
      <c r="ES52" s="158">
        <f>_xlfn.XLOOKUP(K52,[4]目录表!$H:$H,[4]目录表!$Y:$Y)</f>
        <v>0</v>
      </c>
      <c r="ET52" s="158">
        <f>_xlfn.XLOOKUP(K52,[4]目录表!$H:$H,[4]目录表!$Z:$Z)</f>
        <v>0</v>
      </c>
      <c r="EU52" s="158">
        <f>_xlfn.XLOOKUP(K52,[4]目录表!$H:$H,[4]目录表!$AA:$AA)</f>
        <v>0</v>
      </c>
      <c r="EV52" s="158">
        <f t="shared" si="21"/>
        <v>0</v>
      </c>
      <c r="EW52" s="158">
        <f t="shared" si="15"/>
        <v>9</v>
      </c>
      <c r="EX52" s="193">
        <f>_xlfn.XLOOKUP(K52,[2]目录表!$H:$H,[2]目录表!$AB:$AB)</f>
        <v>0.045801875</v>
      </c>
      <c r="EY52" s="189" t="s">
        <v>382</v>
      </c>
      <c r="EZ52" s="194">
        <f t="shared" si="25"/>
        <v>0</v>
      </c>
      <c r="FK52" s="128" t="str">
        <f>_xlfn.XLOOKUP(K52,[2]目录表!$H:$H,[2]目录表!$AJ:$AJ)</f>
        <v>装柜</v>
      </c>
    </row>
    <row r="53" customHeight="1" spans="2:167">
      <c r="B53" s="208" t="s">
        <v>383</v>
      </c>
      <c r="C53" s="158">
        <v>8</v>
      </c>
      <c r="D53" s="158">
        <v>34</v>
      </c>
      <c r="E53" s="181" t="e">
        <f>_xlfn.XLOOKUP(K53,[3]工业配件!$AA:$AA,[3]工业配件!$L:$L)</f>
        <v>#N/A</v>
      </c>
      <c r="G53" s="158" t="s">
        <v>373</v>
      </c>
      <c r="H53" s="203" t="s">
        <v>384</v>
      </c>
      <c r="J53" s="203" t="s">
        <v>385</v>
      </c>
      <c r="K53" s="203" t="s">
        <v>386</v>
      </c>
      <c r="M53" s="189" t="s">
        <v>183</v>
      </c>
      <c r="N53" s="131">
        <f>_xlfn.XLOOKUP(L53,数据更新表!J:J,数据更新表!K:K)</f>
        <v>0</v>
      </c>
      <c r="O53" s="131" t="str">
        <f>IFERROR(_xlfn.XLOOKUP(K53,数据更新表!A:A,数据更新表!B:B),"0")</f>
        <v>0</v>
      </c>
      <c r="P53" s="131">
        <f>_xlfn.XLOOKUP(K53,[1]库销表!$F:$F,[1]库销表!$L:$L)</f>
        <v>0</v>
      </c>
      <c r="Q53" s="184" t="e">
        <f t="shared" si="0"/>
        <v>#DIV/0!</v>
      </c>
      <c r="S53" s="128" t="e">
        <f>_xlfn.XLOOKUP(K53,数据更新表!R:R,数据更新表!S:S)</f>
        <v>#N/A</v>
      </c>
      <c r="T53" s="128" t="e">
        <f>_xlfn.XLOOKUP(K53,数据更新表!V:V,数据更新表!W:W)</f>
        <v>#N/A</v>
      </c>
      <c r="V53" s="185" t="str">
        <f t="shared" si="1"/>
        <v>0</v>
      </c>
      <c r="W53" s="158">
        <f t="shared" si="2"/>
        <v>0</v>
      </c>
      <c r="X53" s="158">
        <f t="shared" si="24"/>
        <v>0</v>
      </c>
      <c r="AF53" s="128">
        <f t="shared" si="23"/>
        <v>0</v>
      </c>
      <c r="BR53" s="131"/>
      <c r="BS53" s="131">
        <f>_xlfn.XLOOKUP(K53,[1]库销表!$F:$F,[1]库销表!$L:$L)</f>
        <v>0</v>
      </c>
      <c r="BT53" s="131">
        <f t="shared" si="4"/>
        <v>0</v>
      </c>
      <c r="CW53" s="131">
        <f>_xlfn.XLOOKUP(K53,[1]库销表!$F:$F,[1]库销表!$IE:$IE)</f>
        <v>0</v>
      </c>
      <c r="CX53" s="131">
        <f>_xlfn.XLOOKUP(K53,[1]库销表!$F:$F,[1]库销表!$IF:$IF)</f>
        <v>0</v>
      </c>
      <c r="CY53" s="186">
        <f>_xlfn.XLOOKUP(K53,[1]库销表!$F:$F,[1]库销表!$FL:$FL)</f>
        <v>0</v>
      </c>
      <c r="CZ53" s="131">
        <f>_xlfn.XLOOKUP(K53,数据更新表!E:E,数据更新表!F:F,0)</f>
        <v>0</v>
      </c>
      <c r="DA53" s="131">
        <v>0</v>
      </c>
      <c r="DB53" s="131" t="e">
        <f>_xlfn.XLOOKUP(K53,数据更新表!E:E,数据更新表!G:G)</f>
        <v>#N/A</v>
      </c>
      <c r="DC53" s="187">
        <f>_xlfn.XLOOKUP(L53,数据更新表!Z:Z,数据更新表!AH:AH)</f>
        <v>0</v>
      </c>
      <c r="DD53" s="131">
        <f>_xlfn.XLOOKUP(L53,数据更新表!Z:Z,数据更新表!AE:AE)</f>
        <v>0</v>
      </c>
      <c r="DE53" s="131">
        <f>_xlfn.XLOOKUP(L53,数据更新表!Z:Z,数据更新表!AF:AF)</f>
        <v>0</v>
      </c>
      <c r="DF53" s="131" t="e">
        <f>_xlfn.XLOOKUP(K53,数据更新表!Z:Z,数据更新表!AG:AG)</f>
        <v>#N/A</v>
      </c>
      <c r="DG53" s="128">
        <f>_xlfn.XLOOKUP(L53,数据更新表!Z:Z,数据更新表!AD:AD)</f>
        <v>0</v>
      </c>
      <c r="DH53" s="128">
        <f>_xlfn.XLOOKUP(L53,数据更新表!Z:Z,数据更新表!AA:AA)</f>
        <v>0</v>
      </c>
      <c r="DI53" s="128">
        <f>_xlfn.XLOOKUP(L53,数据更新表!Z:Z,数据更新表!AB:AB)</f>
        <v>0</v>
      </c>
      <c r="DJ53" s="128">
        <f>_xlfn.XLOOKUP(L53,数据更新表!Z:Z,数据更新表!AC:AC)</f>
        <v>0</v>
      </c>
      <c r="DK53" s="133">
        <f>_xlfn.XLOOKUP(L53,数据更新表!Z:Z,数据更新表!AI:AI)</f>
        <v>0</v>
      </c>
      <c r="DL53" s="133">
        <f>_xlfn.XLOOKUP(L53,数据更新表!AL:AL,数据更新表!AM:AM)</f>
        <v>0</v>
      </c>
      <c r="DM53" s="131">
        <f>_xlfn.XLOOKUP(L53,数据更新表!Z:Z,数据更新表!AJ:AJ)</f>
        <v>0</v>
      </c>
      <c r="EE53" s="158">
        <f>_xlfn.XLOOKUP(L53,数据更新表!J:J,数据更新表!L:L)</f>
        <v>0</v>
      </c>
      <c r="EF53" s="158">
        <f>_xlfn.XLOOKUP(L53,数据更新表!J:J,数据更新表!M:M)</f>
        <v>0</v>
      </c>
      <c r="EG53" s="128">
        <v>155</v>
      </c>
      <c r="EH53" s="191">
        <f t="shared" si="5"/>
        <v>-1.02743223661052</v>
      </c>
      <c r="EI53" s="158">
        <f t="shared" si="6"/>
        <v>404.55</v>
      </c>
      <c r="EJ53" s="190">
        <f t="shared" si="7"/>
        <v>-936.3365546875</v>
      </c>
      <c r="EK53" s="191" t="e">
        <f t="shared" si="8"/>
        <v>#DIV/0!</v>
      </c>
      <c r="EL53" s="192">
        <f t="shared" si="27"/>
        <v>506.7865546875</v>
      </c>
      <c r="EM53" s="158" t="str">
        <f t="shared" si="10"/>
        <v>否</v>
      </c>
      <c r="EN53" s="158">
        <f t="shared" si="11"/>
        <v>0</v>
      </c>
      <c r="EO53" s="190">
        <f t="shared" si="12"/>
        <v>0</v>
      </c>
      <c r="EP53" s="182">
        <f>IF(EE53&lt;299,IF(EE53&lt;99,25,IF(EE53&lt;=149,30,IF(EE53&lt;=299,37,85))),IF(EE53&lt;=498,_xlfn.XLOOKUP(EW53,运费表!A:A,运费表!C:C,"重量超限",-1),_xlfn.XLOOKUP(EW53,运费表!A:A,运费表!D:D,"重量超限",-1)))</f>
        <v>25</v>
      </c>
      <c r="EQ53" s="182">
        <f t="shared" si="13"/>
        <v>0</v>
      </c>
      <c r="ER53" s="158">
        <f>_xlfn.XLOOKUP(K53,[4]目录表!$H:$H,[4]目录表!$X:$X)</f>
        <v>9</v>
      </c>
      <c r="ES53" s="158">
        <f>_xlfn.XLOOKUP(K53,[4]目录表!$H:$H,[4]目录表!$Y:$Y)</f>
        <v>0</v>
      </c>
      <c r="ET53" s="158">
        <f>_xlfn.XLOOKUP(K53,[4]目录表!$H:$H,[4]目录表!$Z:$Z)</f>
        <v>0</v>
      </c>
      <c r="EU53" s="158">
        <f>_xlfn.XLOOKUP(K53,[4]目录表!$H:$H,[4]目录表!$AA:$AA)</f>
        <v>0</v>
      </c>
      <c r="EV53" s="158">
        <f t="shared" si="21"/>
        <v>0</v>
      </c>
      <c r="EW53" s="158">
        <f t="shared" si="15"/>
        <v>9</v>
      </c>
      <c r="EX53" s="193">
        <f>_xlfn.XLOOKUP(K53,[2]目录表!$H:$H,[2]目录表!$AB:$AB)</f>
        <v>0.0776684375</v>
      </c>
      <c r="EY53" s="189" t="s">
        <v>387</v>
      </c>
      <c r="EZ53" s="194">
        <f t="shared" si="25"/>
        <v>0</v>
      </c>
      <c r="FK53" s="128" t="str">
        <f>_xlfn.XLOOKUP(K53,[2]目录表!$H:$H,[2]目录表!$AJ:$AJ)</f>
        <v>装柜</v>
      </c>
    </row>
    <row r="54" customHeight="1" spans="2:167">
      <c r="B54" s="208" t="s">
        <v>388</v>
      </c>
      <c r="C54" s="158">
        <v>23</v>
      </c>
      <c r="D54" s="158">
        <v>82</v>
      </c>
      <c r="E54" s="181" t="e">
        <f>_xlfn.XLOOKUP(K54,[3]工业配件!$AA:$AA,[3]工业配件!$L:$L)</f>
        <v>#N/A</v>
      </c>
      <c r="G54" s="158" t="s">
        <v>373</v>
      </c>
      <c r="H54" s="203" t="s">
        <v>389</v>
      </c>
      <c r="J54" s="203" t="s">
        <v>390</v>
      </c>
      <c r="K54" s="203" t="s">
        <v>391</v>
      </c>
      <c r="M54" s="189" t="s">
        <v>183</v>
      </c>
      <c r="N54" s="131">
        <f>_xlfn.XLOOKUP(L54,数据更新表!J:J,数据更新表!K:K)</f>
        <v>0</v>
      </c>
      <c r="O54" s="131" t="str">
        <f>IFERROR(_xlfn.XLOOKUP(K54,数据更新表!A:A,数据更新表!B:B),"0")</f>
        <v>0</v>
      </c>
      <c r="P54" s="131">
        <f>_xlfn.XLOOKUP(K54,[1]库销表!$F:$F,[1]库销表!$L:$L)</f>
        <v>0</v>
      </c>
      <c r="Q54" s="184" t="e">
        <f t="shared" si="0"/>
        <v>#DIV/0!</v>
      </c>
      <c r="S54" s="128" t="e">
        <f>_xlfn.XLOOKUP(K54,数据更新表!R:R,数据更新表!S:S)</f>
        <v>#N/A</v>
      </c>
      <c r="T54" s="128" t="e">
        <f>_xlfn.XLOOKUP(K54,数据更新表!V:V,数据更新表!W:W)</f>
        <v>#N/A</v>
      </c>
      <c r="V54" s="185" t="str">
        <f t="shared" si="1"/>
        <v>0</v>
      </c>
      <c r="W54" s="158">
        <f t="shared" si="2"/>
        <v>0</v>
      </c>
      <c r="X54" s="158">
        <f t="shared" si="24"/>
        <v>0</v>
      </c>
      <c r="AF54" s="128">
        <f t="shared" si="23"/>
        <v>0</v>
      </c>
      <c r="BR54" s="131"/>
      <c r="BS54" s="131">
        <f>_xlfn.XLOOKUP(K54,[1]库销表!$F:$F,[1]库销表!$L:$L)</f>
        <v>0</v>
      </c>
      <c r="BT54" s="131">
        <f t="shared" si="4"/>
        <v>0</v>
      </c>
      <c r="CW54" s="131">
        <f>_xlfn.XLOOKUP(K54,[1]库销表!$F:$F,[1]库销表!$IE:$IE)</f>
        <v>0</v>
      </c>
      <c r="CX54" s="131">
        <f>_xlfn.XLOOKUP(K54,[1]库销表!$F:$F,[1]库销表!$IF:$IF)</f>
        <v>0</v>
      </c>
      <c r="CY54" s="186">
        <f>_xlfn.XLOOKUP(K54,[1]库销表!$F:$F,[1]库销表!$FL:$FL)</f>
        <v>0</v>
      </c>
      <c r="CZ54" s="131">
        <f>_xlfn.XLOOKUP(K54,数据更新表!E:E,数据更新表!F:F,0)</f>
        <v>0</v>
      </c>
      <c r="DA54" s="131">
        <v>0</v>
      </c>
      <c r="DB54" s="131" t="e">
        <f>_xlfn.XLOOKUP(K54,数据更新表!E:E,数据更新表!G:G)</f>
        <v>#N/A</v>
      </c>
      <c r="DC54" s="187">
        <f>_xlfn.XLOOKUP(L54,数据更新表!Z:Z,数据更新表!AH:AH)</f>
        <v>0</v>
      </c>
      <c r="DD54" s="131">
        <f>_xlfn.XLOOKUP(L54,数据更新表!Z:Z,数据更新表!AE:AE)</f>
        <v>0</v>
      </c>
      <c r="DE54" s="131">
        <f>_xlfn.XLOOKUP(L54,数据更新表!Z:Z,数据更新表!AF:AF)</f>
        <v>0</v>
      </c>
      <c r="DF54" s="131" t="e">
        <f>_xlfn.XLOOKUP(K54,数据更新表!Z:Z,数据更新表!AG:AG)</f>
        <v>#N/A</v>
      </c>
      <c r="DG54" s="128">
        <f>_xlfn.XLOOKUP(L54,数据更新表!Z:Z,数据更新表!AD:AD)</f>
        <v>0</v>
      </c>
      <c r="DH54" s="128">
        <f>_xlfn.XLOOKUP(L54,数据更新表!Z:Z,数据更新表!AA:AA)</f>
        <v>0</v>
      </c>
      <c r="DI54" s="128">
        <f>_xlfn.XLOOKUP(L54,数据更新表!Z:Z,数据更新表!AB:AB)</f>
        <v>0</v>
      </c>
      <c r="DJ54" s="128">
        <f>_xlfn.XLOOKUP(L54,数据更新表!Z:Z,数据更新表!AC:AC)</f>
        <v>0</v>
      </c>
      <c r="DK54" s="133">
        <f>_xlfn.XLOOKUP(L54,数据更新表!Z:Z,数据更新表!AI:AI)</f>
        <v>0</v>
      </c>
      <c r="DL54" s="133">
        <f>_xlfn.XLOOKUP(L54,数据更新表!AL:AL,数据更新表!AM:AM)</f>
        <v>0</v>
      </c>
      <c r="DM54" s="131">
        <f>_xlfn.XLOOKUP(L54,数据更新表!Z:Z,数据更新表!AJ:AJ)</f>
        <v>0</v>
      </c>
      <c r="EE54" s="158">
        <f>_xlfn.XLOOKUP(L54,数据更新表!J:J,数据更新表!L:L)</f>
        <v>0</v>
      </c>
      <c r="EF54" s="158">
        <f>_xlfn.XLOOKUP(L54,数据更新表!J:J,数据更新表!M:M)</f>
        <v>0</v>
      </c>
      <c r="EG54" s="128">
        <v>192</v>
      </c>
      <c r="EH54" s="191">
        <f t="shared" si="5"/>
        <v>-1.02406121485856</v>
      </c>
      <c r="EI54" s="158">
        <f t="shared" si="6"/>
        <v>501.12</v>
      </c>
      <c r="EJ54" s="190">
        <f t="shared" si="7"/>
        <v>-1064.01653125</v>
      </c>
      <c r="EK54" s="191" t="e">
        <f t="shared" si="8"/>
        <v>#DIV/0!</v>
      </c>
      <c r="EL54" s="192">
        <f t="shared" si="27"/>
        <v>537.89653125</v>
      </c>
      <c r="EM54" s="158" t="str">
        <f t="shared" si="10"/>
        <v>否</v>
      </c>
      <c r="EN54" s="158">
        <f t="shared" si="11"/>
        <v>0</v>
      </c>
      <c r="EO54" s="190">
        <f t="shared" si="12"/>
        <v>0</v>
      </c>
      <c r="EP54" s="182">
        <f>IF(EE54&lt;299,IF(EE54&lt;99,25,IF(EE54&lt;=149,30,IF(EE54&lt;=299,37,85))),IF(EE54&lt;=498,_xlfn.XLOOKUP(EW54,运费表!A:A,运费表!C:C,"重量超限",-1),_xlfn.XLOOKUP(EW54,运费表!A:A,运费表!D:D,"重量超限",-1)))</f>
        <v>25</v>
      </c>
      <c r="EQ54" s="182">
        <f t="shared" si="13"/>
        <v>0</v>
      </c>
      <c r="ER54" s="158">
        <f>_xlfn.XLOOKUP(K54,[4]目录表!$H:$H,[4]目录表!$X:$X)</f>
        <v>10</v>
      </c>
      <c r="ES54" s="158">
        <f>_xlfn.XLOOKUP(K54,[4]目录表!$H:$H,[4]目录表!$Y:$Y)</f>
        <v>0</v>
      </c>
      <c r="ET54" s="158">
        <f>_xlfn.XLOOKUP(K54,[4]目录表!$H:$H,[4]目录表!$Z:$Z)</f>
        <v>0</v>
      </c>
      <c r="EU54" s="158">
        <f>_xlfn.XLOOKUP(K54,[4]目录表!$H:$H,[4]目录表!$AA:$AA)</f>
        <v>0</v>
      </c>
      <c r="EV54" s="158">
        <f t="shared" si="21"/>
        <v>0</v>
      </c>
      <c r="EW54" s="158">
        <f t="shared" si="15"/>
        <v>10</v>
      </c>
      <c r="EX54" s="193">
        <f>_xlfn.XLOOKUP(K54,[2]目录表!$H:$H,[2]目录表!$AB:$AB)</f>
        <v>0.08243625</v>
      </c>
      <c r="EY54" s="189" t="s">
        <v>387</v>
      </c>
      <c r="EZ54" s="194">
        <f t="shared" si="25"/>
        <v>0</v>
      </c>
      <c r="FK54" s="128" t="str">
        <f>_xlfn.XLOOKUP(K54,[2]目录表!$H:$H,[2]目录表!$AJ:$AJ)</f>
        <v>装柜</v>
      </c>
    </row>
    <row r="55" customHeight="1" spans="2:167">
      <c r="B55" s="208" t="s">
        <v>392</v>
      </c>
      <c r="C55" s="158">
        <v>7</v>
      </c>
      <c r="D55" s="158">
        <v>7</v>
      </c>
      <c r="E55" s="181" t="e">
        <f>_xlfn.XLOOKUP(K55,[3]工业配件!$AA:$AA,[3]工业配件!$L:$L)</f>
        <v>#N/A</v>
      </c>
      <c r="G55" s="158" t="s">
        <v>373</v>
      </c>
      <c r="H55" s="203" t="s">
        <v>393</v>
      </c>
      <c r="J55" s="203" t="s">
        <v>394</v>
      </c>
      <c r="K55" s="203" t="s">
        <v>395</v>
      </c>
      <c r="M55" s="189" t="s">
        <v>183</v>
      </c>
      <c r="N55" s="131">
        <f>_xlfn.XLOOKUP(L55,数据更新表!J:J,数据更新表!K:K)</f>
        <v>0</v>
      </c>
      <c r="O55" s="131" t="str">
        <f>IFERROR(_xlfn.XLOOKUP(K55,数据更新表!A:A,数据更新表!B:B),"0")</f>
        <v>0</v>
      </c>
      <c r="P55" s="131">
        <f>_xlfn.XLOOKUP(K55,[1]库销表!$F:$F,[1]库销表!$L:$L)</f>
        <v>0</v>
      </c>
      <c r="Q55" s="184" t="e">
        <f t="shared" si="0"/>
        <v>#DIV/0!</v>
      </c>
      <c r="S55" s="128" t="e">
        <f>_xlfn.XLOOKUP(K55,数据更新表!R:R,数据更新表!S:S)</f>
        <v>#N/A</v>
      </c>
      <c r="T55" s="128" t="e">
        <f>_xlfn.XLOOKUP(K55,数据更新表!V:V,数据更新表!W:W)</f>
        <v>#N/A</v>
      </c>
      <c r="V55" s="185" t="str">
        <f t="shared" si="1"/>
        <v>0</v>
      </c>
      <c r="W55" s="158">
        <f t="shared" si="2"/>
        <v>0</v>
      </c>
      <c r="X55" s="158">
        <f t="shared" si="24"/>
        <v>0</v>
      </c>
      <c r="AF55" s="128">
        <f t="shared" si="23"/>
        <v>0</v>
      </c>
      <c r="BR55" s="131"/>
      <c r="BS55" s="131">
        <f>_xlfn.XLOOKUP(K55,[1]库销表!$F:$F,[1]库销表!$L:$L)</f>
        <v>0</v>
      </c>
      <c r="BT55" s="131">
        <f t="shared" si="4"/>
        <v>0</v>
      </c>
      <c r="CW55" s="131">
        <f>_xlfn.XLOOKUP(K55,[1]库销表!$F:$F,[1]库销表!$IE:$IE)</f>
        <v>0</v>
      </c>
      <c r="CX55" s="131">
        <f>_xlfn.XLOOKUP(K55,[1]库销表!$F:$F,[1]库销表!$IF:$IF)</f>
        <v>0</v>
      </c>
      <c r="CY55" s="186">
        <f>_xlfn.XLOOKUP(K55,[1]库销表!$F:$F,[1]库销表!$FL:$FL)</f>
        <v>0</v>
      </c>
      <c r="CZ55" s="131">
        <f>_xlfn.XLOOKUP(K55,数据更新表!E:E,数据更新表!F:F,0)</f>
        <v>0</v>
      </c>
      <c r="DA55" s="131">
        <v>0</v>
      </c>
      <c r="DB55" s="131" t="e">
        <f>_xlfn.XLOOKUP(K55,数据更新表!E:E,数据更新表!G:G)</f>
        <v>#N/A</v>
      </c>
      <c r="DC55" s="187">
        <f>_xlfn.XLOOKUP(L55,数据更新表!Z:Z,数据更新表!AH:AH)</f>
        <v>0</v>
      </c>
      <c r="DD55" s="131">
        <f>_xlfn.XLOOKUP(L55,数据更新表!Z:Z,数据更新表!AE:AE)</f>
        <v>0</v>
      </c>
      <c r="DE55" s="131">
        <f>_xlfn.XLOOKUP(L55,数据更新表!Z:Z,数据更新表!AF:AF)</f>
        <v>0</v>
      </c>
      <c r="DF55" s="131" t="e">
        <f>_xlfn.XLOOKUP(K55,数据更新表!Z:Z,数据更新表!AG:AG)</f>
        <v>#N/A</v>
      </c>
      <c r="DG55" s="128">
        <f>_xlfn.XLOOKUP(L55,数据更新表!Z:Z,数据更新表!AD:AD)</f>
        <v>0</v>
      </c>
      <c r="DH55" s="128">
        <f>_xlfn.XLOOKUP(L55,数据更新表!Z:Z,数据更新表!AA:AA)</f>
        <v>0</v>
      </c>
      <c r="DI55" s="128">
        <f>_xlfn.XLOOKUP(L55,数据更新表!Z:Z,数据更新表!AB:AB)</f>
        <v>0</v>
      </c>
      <c r="DJ55" s="128">
        <f>_xlfn.XLOOKUP(L55,数据更新表!Z:Z,数据更新表!AC:AC)</f>
        <v>0</v>
      </c>
      <c r="DK55" s="133">
        <f>_xlfn.XLOOKUP(L55,数据更新表!Z:Z,数据更新表!AI:AI)</f>
        <v>0</v>
      </c>
      <c r="DL55" s="133">
        <f>_xlfn.XLOOKUP(L55,数据更新表!AL:AL,数据更新表!AM:AM)</f>
        <v>0</v>
      </c>
      <c r="DM55" s="131">
        <f>_xlfn.XLOOKUP(L55,数据更新表!Z:Z,数据更新表!AJ:AJ)</f>
        <v>0</v>
      </c>
      <c r="EE55" s="158">
        <f>_xlfn.XLOOKUP(L55,数据更新表!J:J,数据更新表!L:L)</f>
        <v>0</v>
      </c>
      <c r="EF55" s="158">
        <f>_xlfn.XLOOKUP(L55,数据更新表!J:J,数据更新表!M:M)</f>
        <v>0</v>
      </c>
      <c r="EG55" s="128">
        <v>192</v>
      </c>
      <c r="EH55" s="191">
        <f t="shared" si="5"/>
        <v>-1.02319943793678</v>
      </c>
      <c r="EI55" s="158">
        <f t="shared" si="6"/>
        <v>501.12</v>
      </c>
      <c r="EJ55" s="190">
        <f t="shared" si="7"/>
        <v>-1102.6123140625</v>
      </c>
      <c r="EK55" s="191" t="e">
        <f t="shared" si="8"/>
        <v>#DIV/0!</v>
      </c>
      <c r="EL55" s="192">
        <f t="shared" si="27"/>
        <v>576.4923140625</v>
      </c>
      <c r="EM55" s="158" t="str">
        <f t="shared" si="10"/>
        <v>否</v>
      </c>
      <c r="EN55" s="158">
        <f t="shared" si="11"/>
        <v>0</v>
      </c>
      <c r="EO55" s="190">
        <f t="shared" si="12"/>
        <v>0</v>
      </c>
      <c r="EP55" s="182">
        <f>IF(EE55&lt;299,IF(EE55&lt;99,25,IF(EE55&lt;=149,30,IF(EE55&lt;=299,37,85))),IF(EE55&lt;=498,_xlfn.XLOOKUP(EW55,运费表!A:A,运费表!C:C,"重量超限",-1),_xlfn.XLOOKUP(EW55,运费表!A:A,运费表!D:D,"重量超限",-1)))</f>
        <v>25</v>
      </c>
      <c r="EQ55" s="182">
        <f t="shared" si="13"/>
        <v>0</v>
      </c>
      <c r="ER55" s="158">
        <f>_xlfn.XLOOKUP(K55,[4]目录表!$H:$H,[4]目录表!$X:$X)</f>
        <v>10</v>
      </c>
      <c r="ES55" s="158">
        <f>_xlfn.XLOOKUP(K55,[4]目录表!$H:$H,[4]目录表!$Y:$Y)</f>
        <v>0</v>
      </c>
      <c r="ET55" s="158">
        <f>_xlfn.XLOOKUP(K55,[4]目录表!$H:$H,[4]目录表!$Z:$Z)</f>
        <v>0</v>
      </c>
      <c r="EU55" s="158">
        <f>_xlfn.XLOOKUP(K55,[4]目录表!$H:$H,[4]目录表!$AA:$AA)</f>
        <v>0</v>
      </c>
      <c r="EV55" s="158">
        <f t="shared" si="21"/>
        <v>0</v>
      </c>
      <c r="EW55" s="158">
        <f t="shared" si="15"/>
        <v>10</v>
      </c>
      <c r="EX55" s="193">
        <f>_xlfn.XLOOKUP(K55,[2]目录表!$H:$H,[2]目录表!$AB:$AB)</f>
        <v>0.0883513125</v>
      </c>
      <c r="EY55" s="189" t="s">
        <v>387</v>
      </c>
      <c r="EZ55" s="194">
        <f t="shared" si="25"/>
        <v>0</v>
      </c>
      <c r="FK55" s="128" t="str">
        <f>_xlfn.XLOOKUP(K55,[2]目录表!$H:$H,[2]目录表!$AJ:$AJ)</f>
        <v>装柜</v>
      </c>
    </row>
    <row r="56" customHeight="1" spans="2:167">
      <c r="B56" s="208" t="s">
        <v>396</v>
      </c>
      <c r="C56" s="158">
        <v>5</v>
      </c>
      <c r="D56" s="158">
        <v>7</v>
      </c>
      <c r="E56" s="181" t="e">
        <f>_xlfn.XLOOKUP(K56,[3]工业配件!$AA:$AA,[3]工业配件!$L:$L)</f>
        <v>#N/A</v>
      </c>
      <c r="G56" s="158" t="s">
        <v>373</v>
      </c>
      <c r="H56" s="203" t="s">
        <v>397</v>
      </c>
      <c r="J56" s="203" t="s">
        <v>398</v>
      </c>
      <c r="K56" s="203" t="s">
        <v>399</v>
      </c>
      <c r="M56" s="189" t="s">
        <v>183</v>
      </c>
      <c r="N56" s="131">
        <f>_xlfn.XLOOKUP(L56,数据更新表!J:J,数据更新表!K:K)</f>
        <v>0</v>
      </c>
      <c r="O56" s="131" t="str">
        <f>IFERROR(_xlfn.XLOOKUP(K56,数据更新表!A:A,数据更新表!B:B),"0")</f>
        <v>0</v>
      </c>
      <c r="P56" s="131">
        <f>_xlfn.XLOOKUP(K56,[1]库销表!$F:$F,[1]库销表!$L:$L)</f>
        <v>0</v>
      </c>
      <c r="Q56" s="184" t="e">
        <f t="shared" si="0"/>
        <v>#DIV/0!</v>
      </c>
      <c r="S56" s="128" t="e">
        <f>_xlfn.XLOOKUP(K56,数据更新表!R:R,数据更新表!S:S)</f>
        <v>#N/A</v>
      </c>
      <c r="T56" s="128" t="e">
        <f>_xlfn.XLOOKUP(K56,数据更新表!V:V,数据更新表!W:W)</f>
        <v>#N/A</v>
      </c>
      <c r="V56" s="185" t="str">
        <f t="shared" si="1"/>
        <v>0</v>
      </c>
      <c r="W56" s="158">
        <f t="shared" si="2"/>
        <v>0</v>
      </c>
      <c r="X56" s="158">
        <f t="shared" si="24"/>
        <v>0</v>
      </c>
      <c r="AF56" s="128">
        <f t="shared" si="23"/>
        <v>0</v>
      </c>
      <c r="BR56" s="131"/>
      <c r="BS56" s="131">
        <f>_xlfn.XLOOKUP(K56,[1]库销表!$F:$F,[1]库销表!$L:$L)</f>
        <v>0</v>
      </c>
      <c r="BT56" s="131">
        <f t="shared" si="4"/>
        <v>0</v>
      </c>
      <c r="CW56" s="131">
        <f>_xlfn.XLOOKUP(K56,[1]库销表!$F:$F,[1]库销表!$IE:$IE)</f>
        <v>0</v>
      </c>
      <c r="CX56" s="131">
        <f>_xlfn.XLOOKUP(K56,[1]库销表!$F:$F,[1]库销表!$IF:$IF)</f>
        <v>0</v>
      </c>
      <c r="CY56" s="186">
        <f>_xlfn.XLOOKUP(K56,[1]库销表!$F:$F,[1]库销表!$FL:$FL)</f>
        <v>0</v>
      </c>
      <c r="CZ56" s="131">
        <f>_xlfn.XLOOKUP(K56,数据更新表!E:E,数据更新表!F:F,0)</f>
        <v>0</v>
      </c>
      <c r="DA56" s="131">
        <v>0</v>
      </c>
      <c r="DB56" s="131" t="e">
        <f>_xlfn.XLOOKUP(K56,数据更新表!E:E,数据更新表!G:G)</f>
        <v>#N/A</v>
      </c>
      <c r="DC56" s="187">
        <f>_xlfn.XLOOKUP(L56,数据更新表!Z:Z,数据更新表!AH:AH)</f>
        <v>0</v>
      </c>
      <c r="DD56" s="131">
        <f>_xlfn.XLOOKUP(L56,数据更新表!Z:Z,数据更新表!AE:AE)</f>
        <v>0</v>
      </c>
      <c r="DE56" s="131">
        <f>_xlfn.XLOOKUP(L56,数据更新表!Z:Z,数据更新表!AF:AF)</f>
        <v>0</v>
      </c>
      <c r="DF56" s="131" t="e">
        <f>_xlfn.XLOOKUP(K56,数据更新表!Z:Z,数据更新表!AG:AG)</f>
        <v>#N/A</v>
      </c>
      <c r="DG56" s="128">
        <f>_xlfn.XLOOKUP(L56,数据更新表!Z:Z,数据更新表!AD:AD)</f>
        <v>0</v>
      </c>
      <c r="DH56" s="128">
        <f>_xlfn.XLOOKUP(L56,数据更新表!Z:Z,数据更新表!AA:AA)</f>
        <v>0</v>
      </c>
      <c r="DI56" s="128">
        <f>_xlfn.XLOOKUP(L56,数据更新表!Z:Z,数据更新表!AB:AB)</f>
        <v>0</v>
      </c>
      <c r="DJ56" s="128">
        <f>_xlfn.XLOOKUP(L56,数据更新表!Z:Z,数据更新表!AC:AC)</f>
        <v>0</v>
      </c>
      <c r="DK56" s="133">
        <f>_xlfn.XLOOKUP(L56,数据更新表!Z:Z,数据更新表!AI:AI)</f>
        <v>0</v>
      </c>
      <c r="DL56" s="133">
        <f>_xlfn.XLOOKUP(L56,数据更新表!AL:AL,数据更新表!AM:AM)</f>
        <v>0</v>
      </c>
      <c r="DM56" s="131">
        <f>_xlfn.XLOOKUP(L56,数据更新表!Z:Z,数据更新表!AJ:AJ)</f>
        <v>0</v>
      </c>
      <c r="EE56" s="158">
        <f>_xlfn.XLOOKUP(L56,数据更新表!J:J,数据更新表!L:L)</f>
        <v>0</v>
      </c>
      <c r="EF56" s="158">
        <f>_xlfn.XLOOKUP(L56,数据更新表!J:J,数据更新表!M:M)</f>
        <v>0</v>
      </c>
      <c r="EG56" s="128">
        <v>150</v>
      </c>
      <c r="EH56" s="191">
        <f t="shared" si="5"/>
        <v>-1.0382217155265</v>
      </c>
      <c r="EI56" s="158">
        <f t="shared" si="6"/>
        <v>391.5</v>
      </c>
      <c r="EJ56" s="190">
        <f t="shared" si="7"/>
        <v>-679.07843828125</v>
      </c>
      <c r="EK56" s="191" t="e">
        <f t="shared" si="8"/>
        <v>#DIV/0!</v>
      </c>
      <c r="EL56" s="192">
        <f t="shared" si="27"/>
        <v>262.57843828125</v>
      </c>
      <c r="EM56" s="158" t="str">
        <f t="shared" si="10"/>
        <v>否</v>
      </c>
      <c r="EN56" s="158">
        <f t="shared" si="11"/>
        <v>0</v>
      </c>
      <c r="EO56" s="190">
        <f t="shared" si="12"/>
        <v>0</v>
      </c>
      <c r="EP56" s="182">
        <f>IF(EE56&lt;299,IF(EE56&lt;99,25,IF(EE56&lt;=149,30,IF(EE56&lt;=299,37,85))),IF(EE56&lt;=498,_xlfn.XLOOKUP(EW56,运费表!A:A,运费表!C:C,"重量超限",-1),_xlfn.XLOOKUP(EW56,运费表!A:A,运费表!D:D,"重量超限",-1)))</f>
        <v>25</v>
      </c>
      <c r="EQ56" s="182">
        <f t="shared" si="13"/>
        <v>0</v>
      </c>
      <c r="ER56" s="158">
        <f>_xlfn.XLOOKUP(K56,[4]目录表!$H:$H,[4]目录表!$X:$X)</f>
        <v>10</v>
      </c>
      <c r="ES56" s="158">
        <f>_xlfn.XLOOKUP(K56,[4]目录表!$H:$H,[4]目录表!$Y:$Y)</f>
        <v>0</v>
      </c>
      <c r="ET56" s="158">
        <f>_xlfn.XLOOKUP(K56,[4]目录表!$H:$H,[4]目录表!$Z:$Z)</f>
        <v>0</v>
      </c>
      <c r="EU56" s="158">
        <f>_xlfn.XLOOKUP(K56,[4]目录表!$H:$H,[4]目录表!$AA:$AA)</f>
        <v>0</v>
      </c>
      <c r="EV56" s="158">
        <f t="shared" si="21"/>
        <v>0</v>
      </c>
      <c r="EW56" s="158">
        <f t="shared" si="15"/>
        <v>10</v>
      </c>
      <c r="EX56" s="193">
        <f>_xlfn.XLOOKUP(K56,[2]目录表!$H:$H,[2]目录表!$AB:$AB)</f>
        <v>0.04024190625</v>
      </c>
      <c r="EY56" s="189" t="s">
        <v>377</v>
      </c>
      <c r="EZ56" s="194">
        <f t="shared" si="25"/>
        <v>0</v>
      </c>
      <c r="FK56" s="128" t="str">
        <f>_xlfn.XLOOKUP(K56,[2]目录表!$H:$H,[2]目录表!$AJ:$AJ)</f>
        <v>装柜</v>
      </c>
    </row>
    <row r="57" customHeight="1" spans="2:167">
      <c r="B57" s="208" t="s">
        <v>400</v>
      </c>
      <c r="C57" s="158">
        <v>13</v>
      </c>
      <c r="D57" s="158">
        <v>31</v>
      </c>
      <c r="E57" s="181" t="e">
        <f>_xlfn.XLOOKUP(K57,[3]工业配件!$AA:$AA,[3]工业配件!$L:$L)</f>
        <v>#N/A</v>
      </c>
      <c r="G57" s="158" t="s">
        <v>401</v>
      </c>
      <c r="H57" s="203" t="s">
        <v>402</v>
      </c>
      <c r="J57" s="203" t="s">
        <v>403</v>
      </c>
      <c r="K57" s="203" t="s">
        <v>404</v>
      </c>
      <c r="M57" s="189" t="s">
        <v>183</v>
      </c>
      <c r="N57" s="131">
        <f>_xlfn.XLOOKUP(L57,数据更新表!J:J,数据更新表!K:K)</f>
        <v>0</v>
      </c>
      <c r="O57" s="131" t="str">
        <f>IFERROR(_xlfn.XLOOKUP(K57,数据更新表!A:A,数据更新表!B:B),"0")</f>
        <v>0</v>
      </c>
      <c r="P57" s="131">
        <f>_xlfn.XLOOKUP(K57,[1]库销表!$F:$F,[1]库销表!$L:$L)</f>
        <v>0</v>
      </c>
      <c r="Q57" s="184" t="e">
        <f t="shared" si="0"/>
        <v>#DIV/0!</v>
      </c>
      <c r="S57" s="128" t="e">
        <f>_xlfn.XLOOKUP(K57,数据更新表!R:R,数据更新表!S:S)</f>
        <v>#N/A</v>
      </c>
      <c r="T57" s="128" t="e">
        <f>_xlfn.XLOOKUP(K57,数据更新表!V:V,数据更新表!W:W)</f>
        <v>#N/A</v>
      </c>
      <c r="V57" s="185" t="str">
        <f t="shared" si="1"/>
        <v>0</v>
      </c>
      <c r="W57" s="158">
        <f t="shared" si="2"/>
        <v>0</v>
      </c>
      <c r="X57" s="158">
        <f t="shared" si="24"/>
        <v>0</v>
      </c>
      <c r="AF57" s="128">
        <f t="shared" si="23"/>
        <v>0</v>
      </c>
      <c r="BR57" s="131"/>
      <c r="BS57" s="131">
        <f>_xlfn.XLOOKUP(K57,[1]库销表!$F:$F,[1]库销表!$L:$L)</f>
        <v>0</v>
      </c>
      <c r="BT57" s="131">
        <f t="shared" si="4"/>
        <v>0</v>
      </c>
      <c r="CW57" s="131">
        <f>_xlfn.XLOOKUP(K57,[1]库销表!$F:$F,[1]库销表!$IE:$IE)</f>
        <v>0</v>
      </c>
      <c r="CX57" s="131">
        <f>_xlfn.XLOOKUP(K57,[1]库销表!$F:$F,[1]库销表!$IF:$IF)</f>
        <v>0</v>
      </c>
      <c r="CY57" s="186">
        <f>_xlfn.XLOOKUP(K57,[1]库销表!$F:$F,[1]库销表!$FL:$FL)</f>
        <v>0</v>
      </c>
      <c r="CZ57" s="131">
        <f>_xlfn.XLOOKUP(K57,数据更新表!E:E,数据更新表!F:F,0)</f>
        <v>0</v>
      </c>
      <c r="DA57" s="131">
        <v>0</v>
      </c>
      <c r="DB57" s="131" t="e">
        <f>_xlfn.XLOOKUP(K57,数据更新表!E:E,数据更新表!G:G)</f>
        <v>#N/A</v>
      </c>
      <c r="DC57" s="187">
        <f>_xlfn.XLOOKUP(L57,数据更新表!Z:Z,数据更新表!AH:AH)</f>
        <v>0</v>
      </c>
      <c r="DD57" s="131">
        <f>_xlfn.XLOOKUP(L57,数据更新表!Z:Z,数据更新表!AE:AE)</f>
        <v>0</v>
      </c>
      <c r="DE57" s="131">
        <f>_xlfn.XLOOKUP(L57,数据更新表!Z:Z,数据更新表!AF:AF)</f>
        <v>0</v>
      </c>
      <c r="DF57" s="131" t="e">
        <f>_xlfn.XLOOKUP(K57,数据更新表!Z:Z,数据更新表!AG:AG)</f>
        <v>#N/A</v>
      </c>
      <c r="DG57" s="128">
        <f>_xlfn.XLOOKUP(L57,数据更新表!Z:Z,数据更新表!AD:AD)</f>
        <v>0</v>
      </c>
      <c r="DH57" s="128">
        <f>_xlfn.XLOOKUP(L57,数据更新表!Z:Z,数据更新表!AA:AA)</f>
        <v>0</v>
      </c>
      <c r="DI57" s="128">
        <f>_xlfn.XLOOKUP(L57,数据更新表!Z:Z,数据更新表!AB:AB)</f>
        <v>0</v>
      </c>
      <c r="DJ57" s="128">
        <f>_xlfn.XLOOKUP(L57,数据更新表!Z:Z,数据更新表!AC:AC)</f>
        <v>0</v>
      </c>
      <c r="DK57" s="133">
        <f>_xlfn.XLOOKUP(L57,数据更新表!Z:Z,数据更新表!AI:AI)</f>
        <v>0</v>
      </c>
      <c r="DL57" s="133">
        <f>_xlfn.XLOOKUP(L57,数据更新表!AL:AL,数据更新表!AM:AM)</f>
        <v>0</v>
      </c>
      <c r="DM57" s="131">
        <f>_xlfn.XLOOKUP(L57,数据更新表!Z:Z,数据更新表!AJ:AJ)</f>
        <v>0</v>
      </c>
      <c r="EE57" s="158">
        <f>_xlfn.XLOOKUP(L57,数据更新表!J:J,数据更新表!L:L)</f>
        <v>0</v>
      </c>
      <c r="EF57" s="158">
        <f>_xlfn.XLOOKUP(L57,数据更新表!J:J,数据更新表!M:M)</f>
        <v>0</v>
      </c>
      <c r="EG57" s="128">
        <v>122</v>
      </c>
      <c r="EH57" s="191">
        <f t="shared" si="5"/>
        <v>-1.04257887651717</v>
      </c>
      <c r="EI57" s="158">
        <f t="shared" si="6"/>
        <v>318.42</v>
      </c>
      <c r="EJ57" s="190">
        <f t="shared" si="7"/>
        <v>-612.1456</v>
      </c>
      <c r="EK57" s="191" t="e">
        <f t="shared" si="8"/>
        <v>#DIV/0!</v>
      </c>
      <c r="EL57" s="192">
        <f t="shared" si="27"/>
        <v>268.7256</v>
      </c>
      <c r="EM57" s="158" t="str">
        <f t="shared" si="10"/>
        <v>否</v>
      </c>
      <c r="EN57" s="158">
        <f t="shared" si="11"/>
        <v>0</v>
      </c>
      <c r="EO57" s="190">
        <f t="shared" si="12"/>
        <v>0</v>
      </c>
      <c r="EP57" s="182">
        <f>IF(EE57&lt;299,IF(EE57&lt;99,25,IF(EE57&lt;=149,30,IF(EE57&lt;=299,37,85))),IF(EE57&lt;=498,_xlfn.XLOOKUP(EW57,运费表!A:A,运费表!C:C,"重量超限",-1),_xlfn.XLOOKUP(EW57,运费表!A:A,运费表!D:D,"重量超限",-1)))</f>
        <v>25</v>
      </c>
      <c r="EQ57" s="182">
        <f t="shared" si="13"/>
        <v>0</v>
      </c>
      <c r="ER57" s="158">
        <f>_xlfn.XLOOKUP(K57,[4]目录表!$H:$H,[4]目录表!$X:$X)</f>
        <v>5.2</v>
      </c>
      <c r="ES57" s="158">
        <f>_xlfn.XLOOKUP(K57,[4]目录表!$H:$H,[4]目录表!$Y:$Y)</f>
        <v>52</v>
      </c>
      <c r="ET57" s="158">
        <f>_xlfn.XLOOKUP(K57,[4]目录表!$H:$H,[4]目录表!$Z:$Z)</f>
        <v>36</v>
      </c>
      <c r="EU57" s="158">
        <f>_xlfn.XLOOKUP(K57,[4]目录表!$H:$H,[4]目录表!$AA:$AA)</f>
        <v>22</v>
      </c>
      <c r="EV57" s="158">
        <f t="shared" si="21"/>
        <v>8.2368</v>
      </c>
      <c r="EW57" s="158">
        <f t="shared" si="15"/>
        <v>8.2368</v>
      </c>
      <c r="EX57" s="193">
        <f>_xlfn.XLOOKUP(K57,[2]目录表!$H:$H,[2]目录表!$AB:$AB)</f>
        <v>0.041184</v>
      </c>
      <c r="EY57" s="189"/>
      <c r="EZ57" s="194">
        <f t="shared" si="25"/>
        <v>0</v>
      </c>
      <c r="FK57" s="128" t="str">
        <f>_xlfn.XLOOKUP(K57,[2]目录表!$H:$H,[2]目录表!$AJ:$AJ)</f>
        <v>装柜</v>
      </c>
    </row>
    <row r="58" customHeight="1" spans="2:167">
      <c r="B58" s="208" t="s">
        <v>405</v>
      </c>
      <c r="C58" s="158">
        <v>15</v>
      </c>
      <c r="D58" s="158">
        <v>36</v>
      </c>
      <c r="E58" s="181" t="e">
        <f>_xlfn.XLOOKUP(K58,[3]工业配件!$AA:$AA,[3]工业配件!$L:$L)</f>
        <v>#N/A</v>
      </c>
      <c r="G58" s="158" t="s">
        <v>406</v>
      </c>
      <c r="H58" s="203" t="s">
        <v>407</v>
      </c>
      <c r="J58" s="203" t="s">
        <v>408</v>
      </c>
      <c r="K58" s="203" t="s">
        <v>409</v>
      </c>
      <c r="M58" s="189" t="s">
        <v>183</v>
      </c>
      <c r="N58" s="131">
        <f>_xlfn.XLOOKUP(L58,数据更新表!J:J,数据更新表!K:K)</f>
        <v>0</v>
      </c>
      <c r="O58" s="131" t="str">
        <f>IFERROR(_xlfn.XLOOKUP(K58,数据更新表!A:A,数据更新表!B:B),"0")</f>
        <v>0</v>
      </c>
      <c r="P58" s="131">
        <f>_xlfn.XLOOKUP(K58,[1]库销表!$F:$F,[1]库销表!$L:$L)</f>
        <v>0</v>
      </c>
      <c r="Q58" s="184" t="e">
        <f t="shared" si="0"/>
        <v>#DIV/0!</v>
      </c>
      <c r="S58" s="128" t="e">
        <f>_xlfn.XLOOKUP(K58,数据更新表!R:R,数据更新表!S:S)</f>
        <v>#N/A</v>
      </c>
      <c r="T58" s="128" t="e">
        <f>_xlfn.XLOOKUP(K58,数据更新表!V:V,数据更新表!W:W)</f>
        <v>#N/A</v>
      </c>
      <c r="V58" s="185" t="str">
        <f t="shared" si="1"/>
        <v>0</v>
      </c>
      <c r="W58" s="158">
        <f t="shared" si="2"/>
        <v>0</v>
      </c>
      <c r="X58" s="158">
        <f t="shared" si="24"/>
        <v>0</v>
      </c>
      <c r="AF58" s="128">
        <f t="shared" si="23"/>
        <v>0</v>
      </c>
      <c r="BR58" s="131"/>
      <c r="BS58" s="131">
        <f>_xlfn.XLOOKUP(K58,[1]库销表!$F:$F,[1]库销表!$L:$L)</f>
        <v>0</v>
      </c>
      <c r="BT58" s="131">
        <f t="shared" si="4"/>
        <v>0</v>
      </c>
      <c r="CW58" s="131">
        <f>_xlfn.XLOOKUP(K58,[1]库销表!$F:$F,[1]库销表!$IE:$IE)</f>
        <v>0</v>
      </c>
      <c r="CX58" s="131">
        <f>_xlfn.XLOOKUP(K58,[1]库销表!$F:$F,[1]库销表!$IF:$IF)</f>
        <v>0</v>
      </c>
      <c r="CY58" s="186">
        <f>_xlfn.XLOOKUP(K58,[1]库销表!$F:$F,[1]库销表!$FL:$FL)</f>
        <v>0</v>
      </c>
      <c r="CZ58" s="131">
        <f>_xlfn.XLOOKUP(K58,数据更新表!E:E,数据更新表!F:F,0)</f>
        <v>0</v>
      </c>
      <c r="DA58" s="131">
        <v>0</v>
      </c>
      <c r="DB58" s="131" t="e">
        <f>_xlfn.XLOOKUP(K58,数据更新表!E:E,数据更新表!G:G)</f>
        <v>#N/A</v>
      </c>
      <c r="DC58" s="187">
        <f>_xlfn.XLOOKUP(L58,数据更新表!Z:Z,数据更新表!AH:AH)</f>
        <v>0</v>
      </c>
      <c r="DD58" s="131">
        <f>_xlfn.XLOOKUP(L58,数据更新表!Z:Z,数据更新表!AE:AE)</f>
        <v>0</v>
      </c>
      <c r="DE58" s="131">
        <f>_xlfn.XLOOKUP(L58,数据更新表!Z:Z,数据更新表!AF:AF)</f>
        <v>0</v>
      </c>
      <c r="DF58" s="131" t="e">
        <f>_xlfn.XLOOKUP(K58,数据更新表!Z:Z,数据更新表!AG:AG)</f>
        <v>#N/A</v>
      </c>
      <c r="DG58" s="128">
        <f>_xlfn.XLOOKUP(L58,数据更新表!Z:Z,数据更新表!AD:AD)</f>
        <v>0</v>
      </c>
      <c r="DH58" s="128">
        <f>_xlfn.XLOOKUP(L58,数据更新表!Z:Z,数据更新表!AA:AA)</f>
        <v>0</v>
      </c>
      <c r="DI58" s="128">
        <f>_xlfn.XLOOKUP(L58,数据更新表!Z:Z,数据更新表!AB:AB)</f>
        <v>0</v>
      </c>
      <c r="DJ58" s="128">
        <f>_xlfn.XLOOKUP(L58,数据更新表!Z:Z,数据更新表!AC:AC)</f>
        <v>0</v>
      </c>
      <c r="DK58" s="133">
        <f>_xlfn.XLOOKUP(L58,数据更新表!Z:Z,数据更新表!AI:AI)</f>
        <v>0</v>
      </c>
      <c r="DL58" s="133">
        <f>_xlfn.XLOOKUP(L58,数据更新表!AL:AL,数据更新表!AM:AM)</f>
        <v>0</v>
      </c>
      <c r="DM58" s="131">
        <f>_xlfn.XLOOKUP(L58,数据更新表!Z:Z,数据更新表!AJ:AJ)</f>
        <v>0</v>
      </c>
      <c r="EE58" s="158">
        <f>_xlfn.XLOOKUP(L58,数据更新表!J:J,数据更新表!L:L)</f>
        <v>0</v>
      </c>
      <c r="EF58" s="158">
        <f>_xlfn.XLOOKUP(L58,数据更新表!J:J,数据更新表!M:M)</f>
        <v>0</v>
      </c>
      <c r="EG58" s="128">
        <v>95</v>
      </c>
      <c r="EH58" s="191">
        <f t="shared" si="5"/>
        <v>-1.05424094489462</v>
      </c>
      <c r="EI58" s="158">
        <f t="shared" si="6"/>
        <v>247.95</v>
      </c>
      <c r="EJ58" s="190">
        <f t="shared" si="7"/>
        <v>-485.906425</v>
      </c>
      <c r="EK58" s="191" t="e">
        <f t="shared" si="8"/>
        <v>#DIV/0!</v>
      </c>
      <c r="EL58" s="192">
        <f t="shared" si="27"/>
        <v>212.956425</v>
      </c>
      <c r="EM58" s="158" t="str">
        <f t="shared" si="10"/>
        <v>否</v>
      </c>
      <c r="EN58" s="158">
        <f t="shared" si="11"/>
        <v>0</v>
      </c>
      <c r="EO58" s="190">
        <f t="shared" si="12"/>
        <v>0</v>
      </c>
      <c r="EP58" s="182">
        <f>IF(EE58&lt;299,IF(EE58&lt;99,25,IF(EE58&lt;=149,30,IF(EE58&lt;=299,37,85))),IF(EE58&lt;=498,_xlfn.XLOOKUP(EW58,运费表!A:A,运费表!C:C,"重量超限",-1),_xlfn.XLOOKUP(EW58,运费表!A:A,运费表!D:D,"重量超限",-1)))</f>
        <v>25</v>
      </c>
      <c r="EQ58" s="182">
        <f t="shared" si="13"/>
        <v>0</v>
      </c>
      <c r="ER58" s="158">
        <f>_xlfn.XLOOKUP(K58,[4]目录表!$H:$H,[4]目录表!$X:$X)</f>
        <v>4.4</v>
      </c>
      <c r="ES58" s="158">
        <f>_xlfn.XLOOKUP(K58,[4]目录表!$H:$H,[4]目录表!$Y:$Y)</f>
        <v>43</v>
      </c>
      <c r="ET58" s="158">
        <f>_xlfn.XLOOKUP(K58,[4]目录表!$H:$H,[4]目录表!$Z:$Z)</f>
        <v>11</v>
      </c>
      <c r="EU58" s="158">
        <f>_xlfn.XLOOKUP(K58,[4]目录表!$H:$H,[4]目录表!$AA:$AA)</f>
        <v>69</v>
      </c>
      <c r="EV58" s="158">
        <f t="shared" si="21"/>
        <v>6.5274</v>
      </c>
      <c r="EW58" s="158">
        <f t="shared" si="15"/>
        <v>6.5274</v>
      </c>
      <c r="EX58" s="193">
        <f>_xlfn.XLOOKUP(K58,[2]目录表!$H:$H,[2]目录表!$AB:$AB)</f>
        <v>0.032637</v>
      </c>
      <c r="EY58" s="189"/>
      <c r="EZ58" s="194">
        <f t="shared" si="25"/>
        <v>0</v>
      </c>
      <c r="FK58" s="128" t="str">
        <f>_xlfn.XLOOKUP(K58,[2]目录表!$H:$H,[2]目录表!$AJ:$AJ)</f>
        <v>装柜</v>
      </c>
    </row>
    <row r="59" customHeight="1" spans="2:167">
      <c r="B59" s="208" t="s">
        <v>410</v>
      </c>
      <c r="C59" s="158">
        <v>11</v>
      </c>
      <c r="D59" s="158">
        <v>31</v>
      </c>
      <c r="E59" s="181" t="e">
        <f>_xlfn.XLOOKUP(K59,[3]工业配件!$AA:$AA,[3]工业配件!$L:$L)</f>
        <v>#N/A</v>
      </c>
      <c r="G59" s="158" t="s">
        <v>411</v>
      </c>
      <c r="H59" s="203" t="s">
        <v>412</v>
      </c>
      <c r="J59" s="203" t="s">
        <v>413</v>
      </c>
      <c r="K59" s="203" t="s">
        <v>414</v>
      </c>
      <c r="M59" s="189" t="s">
        <v>183</v>
      </c>
      <c r="N59" s="131">
        <f>_xlfn.XLOOKUP(L59,数据更新表!J:J,数据更新表!K:K)</f>
        <v>0</v>
      </c>
      <c r="O59" s="131" t="str">
        <f>IFERROR(_xlfn.XLOOKUP(K59,数据更新表!A:A,数据更新表!B:B),"0")</f>
        <v>0</v>
      </c>
      <c r="P59" s="131">
        <f>_xlfn.XLOOKUP(K59,[1]库销表!$F:$F,[1]库销表!$L:$L)</f>
        <v>0</v>
      </c>
      <c r="Q59" s="184" t="e">
        <f t="shared" si="0"/>
        <v>#DIV/0!</v>
      </c>
      <c r="S59" s="128" t="e">
        <f>_xlfn.XLOOKUP(K59,数据更新表!R:R,数据更新表!S:S)</f>
        <v>#N/A</v>
      </c>
      <c r="T59" s="128" t="e">
        <f>_xlfn.XLOOKUP(K59,数据更新表!V:V,数据更新表!W:W)</f>
        <v>#N/A</v>
      </c>
      <c r="V59" s="185" t="str">
        <f t="shared" si="1"/>
        <v>0</v>
      </c>
      <c r="W59" s="158">
        <f t="shared" si="2"/>
        <v>0</v>
      </c>
      <c r="X59" s="158">
        <f t="shared" si="24"/>
        <v>0</v>
      </c>
      <c r="AF59" s="128">
        <f t="shared" si="23"/>
        <v>0</v>
      </c>
      <c r="BR59" s="131"/>
      <c r="BS59" s="131">
        <f>_xlfn.XLOOKUP(K59,[1]库销表!$F:$F,[1]库销表!$L:$L)</f>
        <v>0</v>
      </c>
      <c r="BT59" s="131">
        <f t="shared" si="4"/>
        <v>0</v>
      </c>
      <c r="CW59" s="131">
        <f>_xlfn.XLOOKUP(K59,[1]库销表!$F:$F,[1]库销表!$IE:$IE)</f>
        <v>0</v>
      </c>
      <c r="CX59" s="131">
        <f>_xlfn.XLOOKUP(K59,[1]库销表!$F:$F,[1]库销表!$IF:$IF)</f>
        <v>0</v>
      </c>
      <c r="CY59" s="186">
        <f>_xlfn.XLOOKUP(K59,[1]库销表!$F:$F,[1]库销表!$FL:$FL)</f>
        <v>0</v>
      </c>
      <c r="CZ59" s="131">
        <f>_xlfn.XLOOKUP(K59,数据更新表!E:E,数据更新表!F:F,0)</f>
        <v>0</v>
      </c>
      <c r="DA59" s="131">
        <v>0</v>
      </c>
      <c r="DB59" s="131" t="e">
        <f>_xlfn.XLOOKUP(K59,数据更新表!E:E,数据更新表!G:G)</f>
        <v>#N/A</v>
      </c>
      <c r="DC59" s="187">
        <f>_xlfn.XLOOKUP(L59,数据更新表!Z:Z,数据更新表!AH:AH)</f>
        <v>0</v>
      </c>
      <c r="DD59" s="131">
        <f>_xlfn.XLOOKUP(L59,数据更新表!Z:Z,数据更新表!AE:AE)</f>
        <v>0</v>
      </c>
      <c r="DE59" s="131">
        <f>_xlfn.XLOOKUP(L59,数据更新表!Z:Z,数据更新表!AF:AF)</f>
        <v>0</v>
      </c>
      <c r="DF59" s="131" t="e">
        <f>_xlfn.XLOOKUP(K59,数据更新表!Z:Z,数据更新表!AG:AG)</f>
        <v>#N/A</v>
      </c>
      <c r="DG59" s="128">
        <f>_xlfn.XLOOKUP(L59,数据更新表!Z:Z,数据更新表!AD:AD)</f>
        <v>0</v>
      </c>
      <c r="DH59" s="128">
        <f>_xlfn.XLOOKUP(L59,数据更新表!Z:Z,数据更新表!AA:AA)</f>
        <v>0</v>
      </c>
      <c r="DI59" s="128">
        <f>_xlfn.XLOOKUP(L59,数据更新表!Z:Z,数据更新表!AB:AB)</f>
        <v>0</v>
      </c>
      <c r="DJ59" s="128">
        <f>_xlfn.XLOOKUP(L59,数据更新表!Z:Z,数据更新表!AC:AC)</f>
        <v>0</v>
      </c>
      <c r="DK59" s="133">
        <f>_xlfn.XLOOKUP(L59,数据更新表!Z:Z,数据更新表!AI:AI)</f>
        <v>0</v>
      </c>
      <c r="DL59" s="133">
        <f>_xlfn.XLOOKUP(L59,数据更新表!AL:AL,数据更新表!AM:AM)</f>
        <v>0</v>
      </c>
      <c r="DM59" s="131">
        <f>_xlfn.XLOOKUP(L59,数据更新表!Z:Z,数据更新表!AJ:AJ)</f>
        <v>0</v>
      </c>
      <c r="EE59" s="158">
        <f>_xlfn.XLOOKUP(L59,数据更新表!J:J,数据更新表!L:L)</f>
        <v>0</v>
      </c>
      <c r="EF59" s="158">
        <f>_xlfn.XLOOKUP(L59,数据更新表!J:J,数据更新表!M:M)</f>
        <v>0</v>
      </c>
      <c r="EJ59" s="190">
        <f t="shared" si="7"/>
        <v>-689.329825</v>
      </c>
      <c r="EL59" s="192">
        <f t="shared" si="27"/>
        <v>664.329825</v>
      </c>
      <c r="EO59" s="190">
        <f t="shared" si="12"/>
        <v>0</v>
      </c>
      <c r="EP59" s="182">
        <f>IF(EE59&lt;299,IF(EE59&lt;99,25,IF(EE59&lt;=149,30,IF(EE59&lt;=299,37,85))),IF(EE59&lt;=498,_xlfn.XLOOKUP(EW59,运费表!A:A,运费表!C:C,"重量超限",-1),_xlfn.XLOOKUP(EW59,运费表!A:A,运费表!D:D,"重量超限",-1)))</f>
        <v>25</v>
      </c>
      <c r="EQ59" s="182">
        <f t="shared" si="13"/>
        <v>0</v>
      </c>
      <c r="ER59" s="158">
        <f>_xlfn.XLOOKUP(K59,[4]目录表!$H:$H,[4]目录表!$X:$X)</f>
        <v>22</v>
      </c>
      <c r="ES59" s="158">
        <f>_xlfn.XLOOKUP(K59,[4]目录表!$H:$H,[4]目录表!$Y:$Y)</f>
        <v>113</v>
      </c>
      <c r="ET59" s="158">
        <f>_xlfn.XLOOKUP(K59,[4]目录表!$H:$H,[4]目录表!$Z:$Z)</f>
        <v>53</v>
      </c>
      <c r="EU59" s="158">
        <f>_xlfn.XLOOKUP(K59,[4]目录表!$H:$H,[4]目录表!$AA:$AA)</f>
        <v>17</v>
      </c>
      <c r="EV59" s="158">
        <f t="shared" si="21"/>
        <v>20.3626</v>
      </c>
      <c r="EW59" s="158">
        <f t="shared" si="15"/>
        <v>22</v>
      </c>
      <c r="EX59" s="193">
        <f>_xlfn.XLOOKUP(K59,[2]目录表!$H:$H,[2]目录表!$AB:$AB)</f>
        <v>0.101813</v>
      </c>
      <c r="EZ59" s="194">
        <f t="shared" si="25"/>
        <v>0</v>
      </c>
      <c r="FK59" s="128" t="str">
        <f>_xlfn.XLOOKUP(K59,[2]目录表!$H:$H,[2]目录表!$AJ:$AJ)</f>
        <v>装柜</v>
      </c>
    </row>
    <row r="60" customHeight="1" spans="2:167">
      <c r="B60" s="208" t="s">
        <v>415</v>
      </c>
      <c r="C60" s="158">
        <v>7</v>
      </c>
      <c r="D60" s="158">
        <v>13</v>
      </c>
      <c r="E60" s="181" t="e">
        <f>_xlfn.XLOOKUP(K60,[3]工业配件!$AA:$AA,[3]工业配件!$L:$L)</f>
        <v>#N/A</v>
      </c>
      <c r="G60" s="158" t="s">
        <v>411</v>
      </c>
      <c r="H60" s="203" t="s">
        <v>416</v>
      </c>
      <c r="J60" s="203" t="s">
        <v>417</v>
      </c>
      <c r="K60" s="203" t="s">
        <v>418</v>
      </c>
      <c r="M60" s="189" t="s">
        <v>183</v>
      </c>
      <c r="N60" s="131">
        <f>_xlfn.XLOOKUP(L60,数据更新表!J:J,数据更新表!K:K)</f>
        <v>0</v>
      </c>
      <c r="O60" s="131" t="str">
        <f>IFERROR(_xlfn.XLOOKUP(K60,数据更新表!A:A,数据更新表!B:B),"0")</f>
        <v>0</v>
      </c>
      <c r="P60" s="131">
        <f>_xlfn.XLOOKUP(K60,[1]库销表!$F:$F,[1]库销表!$L:$L)</f>
        <v>0</v>
      </c>
      <c r="Q60" s="184" t="e">
        <f t="shared" si="0"/>
        <v>#DIV/0!</v>
      </c>
      <c r="S60" s="128" t="e">
        <f>_xlfn.XLOOKUP(K60,数据更新表!R:R,数据更新表!S:S)</f>
        <v>#N/A</v>
      </c>
      <c r="T60" s="128" t="e">
        <f>_xlfn.XLOOKUP(K60,数据更新表!V:V,数据更新表!W:W)</f>
        <v>#N/A</v>
      </c>
      <c r="V60" s="185" t="str">
        <f t="shared" si="1"/>
        <v>0</v>
      </c>
      <c r="W60" s="158">
        <f t="shared" si="2"/>
        <v>0</v>
      </c>
      <c r="X60" s="158">
        <f t="shared" si="24"/>
        <v>0</v>
      </c>
      <c r="AF60" s="128">
        <f t="shared" si="23"/>
        <v>0</v>
      </c>
      <c r="BR60" s="131"/>
      <c r="BS60" s="131">
        <f>_xlfn.XLOOKUP(K60,[1]库销表!$F:$F,[1]库销表!$L:$L)</f>
        <v>0</v>
      </c>
      <c r="BT60" s="131">
        <f t="shared" si="4"/>
        <v>0</v>
      </c>
      <c r="CW60" s="131">
        <f>_xlfn.XLOOKUP(K60,[1]库销表!$F:$F,[1]库销表!$IE:$IE)</f>
        <v>0</v>
      </c>
      <c r="CX60" s="131">
        <f>_xlfn.XLOOKUP(K60,[1]库销表!$F:$F,[1]库销表!$IF:$IF)</f>
        <v>0</v>
      </c>
      <c r="CY60" s="186">
        <f>_xlfn.XLOOKUP(K60,[1]库销表!$F:$F,[1]库销表!$FL:$FL)</f>
        <v>0</v>
      </c>
      <c r="CZ60" s="131">
        <f>_xlfn.XLOOKUP(K60,数据更新表!E:E,数据更新表!F:F,0)</f>
        <v>0</v>
      </c>
      <c r="DA60" s="131">
        <v>0</v>
      </c>
      <c r="DB60" s="131" t="e">
        <f>_xlfn.XLOOKUP(K60,数据更新表!E:E,数据更新表!G:G)</f>
        <v>#N/A</v>
      </c>
      <c r="DC60" s="187">
        <f>_xlfn.XLOOKUP(L60,数据更新表!Z:Z,数据更新表!AH:AH)</f>
        <v>0</v>
      </c>
      <c r="DD60" s="131">
        <f>_xlfn.XLOOKUP(L60,数据更新表!Z:Z,数据更新表!AE:AE)</f>
        <v>0</v>
      </c>
      <c r="DE60" s="131">
        <f>_xlfn.XLOOKUP(L60,数据更新表!Z:Z,数据更新表!AF:AF)</f>
        <v>0</v>
      </c>
      <c r="DF60" s="131" t="e">
        <f>_xlfn.XLOOKUP(K60,数据更新表!Z:Z,数据更新表!AG:AG)</f>
        <v>#N/A</v>
      </c>
      <c r="DG60" s="128">
        <f>_xlfn.XLOOKUP(L60,数据更新表!Z:Z,数据更新表!AD:AD)</f>
        <v>0</v>
      </c>
      <c r="DH60" s="128">
        <f>_xlfn.XLOOKUP(L60,数据更新表!Z:Z,数据更新表!AA:AA)</f>
        <v>0</v>
      </c>
      <c r="DI60" s="128">
        <f>_xlfn.XLOOKUP(L60,数据更新表!Z:Z,数据更新表!AB:AB)</f>
        <v>0</v>
      </c>
      <c r="DJ60" s="128">
        <f>_xlfn.XLOOKUP(L60,数据更新表!Z:Z,数据更新表!AC:AC)</f>
        <v>0</v>
      </c>
      <c r="DK60" s="133">
        <f>_xlfn.XLOOKUP(L60,数据更新表!Z:Z,数据更新表!AI:AI)</f>
        <v>0</v>
      </c>
      <c r="DL60" s="133">
        <f>_xlfn.XLOOKUP(L60,数据更新表!AL:AL,数据更新表!AM:AM)</f>
        <v>0</v>
      </c>
      <c r="DM60" s="131">
        <f>_xlfn.XLOOKUP(L60,数据更新表!Z:Z,数据更新表!AJ:AJ)</f>
        <v>0</v>
      </c>
      <c r="EE60" s="158">
        <f>_xlfn.XLOOKUP(L60,数据更新表!J:J,数据更新表!L:L)</f>
        <v>0</v>
      </c>
      <c r="EF60" s="158">
        <f>_xlfn.XLOOKUP(L60,数据更新表!J:J,数据更新表!M:M)</f>
        <v>0</v>
      </c>
      <c r="EJ60" s="190">
        <f t="shared" si="7"/>
        <v>-291.1417</v>
      </c>
      <c r="EL60" s="192">
        <f t="shared" si="27"/>
        <v>266.1417</v>
      </c>
      <c r="EO60" s="190">
        <f t="shared" si="12"/>
        <v>0</v>
      </c>
      <c r="EP60" s="182">
        <f>IF(EE60&lt;299,IF(EE60&lt;99,25,IF(EE60&lt;=149,30,IF(EE60&lt;=299,37,85))),IF(EE60&lt;=498,_xlfn.XLOOKUP(EW60,运费表!A:A,运费表!C:C,"重量超限",-1),_xlfn.XLOOKUP(EW60,运费表!A:A,运费表!D:D,"重量超限",-1)))</f>
        <v>25</v>
      </c>
      <c r="EQ60" s="182">
        <f t="shared" si="13"/>
        <v>0</v>
      </c>
      <c r="ER60" s="158">
        <f>_xlfn.XLOOKUP(K60,[4]目录表!$H:$H,[4]目录表!$X:$X)</f>
        <v>6</v>
      </c>
      <c r="ES60" s="158">
        <f>_xlfn.XLOOKUP(K60,[4]目录表!$H:$H,[4]目录表!$Y:$Y)</f>
        <v>103</v>
      </c>
      <c r="ET60" s="158">
        <f>_xlfn.XLOOKUP(K60,[4]目录表!$H:$H,[4]目录表!$Z:$Z)</f>
        <v>33</v>
      </c>
      <c r="EU60" s="158">
        <f>_xlfn.XLOOKUP(K60,[4]目录表!$H:$H,[4]目录表!$AA:$AA)</f>
        <v>12</v>
      </c>
      <c r="EV60" s="158">
        <f t="shared" si="21"/>
        <v>8.1576</v>
      </c>
      <c r="EW60" s="158">
        <f t="shared" si="15"/>
        <v>8.1576</v>
      </c>
      <c r="EX60" s="193">
        <f>_xlfn.XLOOKUP(K60,[2]目录表!$H:$H,[2]目录表!$AB:$AB)</f>
        <v>0.040788</v>
      </c>
      <c r="EZ60" s="194">
        <f t="shared" si="25"/>
        <v>0</v>
      </c>
      <c r="FK60" s="128" t="str">
        <f>_xlfn.XLOOKUP(K60,[2]目录表!$H:$H,[2]目录表!$AJ:$AJ)</f>
        <v>装柜</v>
      </c>
    </row>
    <row r="61" customHeight="1" spans="2:167">
      <c r="B61" s="208" t="s">
        <v>419</v>
      </c>
      <c r="C61" s="158">
        <v>11</v>
      </c>
      <c r="D61" s="158">
        <v>66</v>
      </c>
      <c r="E61" s="181" t="e">
        <f>_xlfn.XLOOKUP(K61,[3]工业配件!$AA:$AA,[3]工业配件!$L:$L)</f>
        <v>#N/A</v>
      </c>
      <c r="G61" s="158" t="s">
        <v>411</v>
      </c>
      <c r="H61" s="203" t="s">
        <v>420</v>
      </c>
      <c r="J61" s="203" t="s">
        <v>421</v>
      </c>
      <c r="K61" s="203" t="s">
        <v>422</v>
      </c>
      <c r="M61" s="189" t="s">
        <v>183</v>
      </c>
      <c r="N61" s="131">
        <f>_xlfn.XLOOKUP(L61,数据更新表!J:J,数据更新表!K:K)</f>
        <v>0</v>
      </c>
      <c r="O61" s="131" t="str">
        <f>IFERROR(_xlfn.XLOOKUP(K61,数据更新表!A:A,数据更新表!B:B),"0")</f>
        <v>0</v>
      </c>
      <c r="P61" s="131">
        <f>_xlfn.XLOOKUP(K61,[1]库销表!$F:$F,[1]库销表!$L:$L)</f>
        <v>0</v>
      </c>
      <c r="Q61" s="184" t="e">
        <f t="shared" si="0"/>
        <v>#DIV/0!</v>
      </c>
      <c r="S61" s="128" t="e">
        <f>_xlfn.XLOOKUP(K61,数据更新表!R:R,数据更新表!S:S)</f>
        <v>#N/A</v>
      </c>
      <c r="T61" s="128" t="e">
        <f>_xlfn.XLOOKUP(K61,数据更新表!V:V,数据更新表!W:W)</f>
        <v>#N/A</v>
      </c>
      <c r="V61" s="185" t="str">
        <f t="shared" si="1"/>
        <v>0</v>
      </c>
      <c r="W61" s="158">
        <f t="shared" si="2"/>
        <v>0</v>
      </c>
      <c r="X61" s="158">
        <f t="shared" si="24"/>
        <v>0</v>
      </c>
      <c r="AF61" s="128">
        <f t="shared" si="23"/>
        <v>0</v>
      </c>
      <c r="BR61" s="131"/>
      <c r="BS61" s="131">
        <f>_xlfn.XLOOKUP(K61,[1]库销表!$F:$F,[1]库销表!$L:$L)</f>
        <v>0</v>
      </c>
      <c r="BT61" s="131">
        <f t="shared" si="4"/>
        <v>0</v>
      </c>
      <c r="CW61" s="131">
        <f>_xlfn.XLOOKUP(K61,[1]库销表!$F:$F,[1]库销表!$IE:$IE)</f>
        <v>0</v>
      </c>
      <c r="CX61" s="131">
        <f>_xlfn.XLOOKUP(K61,[1]库销表!$F:$F,[1]库销表!$IF:$IF)</f>
        <v>0</v>
      </c>
      <c r="CY61" s="186">
        <f>_xlfn.XLOOKUP(K61,[1]库销表!$F:$F,[1]库销表!$FL:$FL)</f>
        <v>0</v>
      </c>
      <c r="CZ61" s="131">
        <f>_xlfn.XLOOKUP(K61,数据更新表!E:E,数据更新表!F:F,0)</f>
        <v>0</v>
      </c>
      <c r="DA61" s="131">
        <v>0</v>
      </c>
      <c r="DB61" s="131" t="e">
        <f>_xlfn.XLOOKUP(K61,数据更新表!E:E,数据更新表!G:G)</f>
        <v>#N/A</v>
      </c>
      <c r="DC61" s="187">
        <f>_xlfn.XLOOKUP(L61,数据更新表!Z:Z,数据更新表!AH:AH)</f>
        <v>0</v>
      </c>
      <c r="DD61" s="131">
        <f>_xlfn.XLOOKUP(L61,数据更新表!Z:Z,数据更新表!AE:AE)</f>
        <v>0</v>
      </c>
      <c r="DE61" s="131">
        <f>_xlfn.XLOOKUP(L61,数据更新表!Z:Z,数据更新表!AF:AF)</f>
        <v>0</v>
      </c>
      <c r="DF61" s="131" t="e">
        <f>_xlfn.XLOOKUP(K61,数据更新表!Z:Z,数据更新表!AG:AG)</f>
        <v>#N/A</v>
      </c>
      <c r="DG61" s="128">
        <f>_xlfn.XLOOKUP(L61,数据更新表!Z:Z,数据更新表!AD:AD)</f>
        <v>0</v>
      </c>
      <c r="DH61" s="128">
        <f>_xlfn.XLOOKUP(L61,数据更新表!Z:Z,数据更新表!AA:AA)</f>
        <v>0</v>
      </c>
      <c r="DI61" s="128">
        <f>_xlfn.XLOOKUP(L61,数据更新表!Z:Z,数据更新表!AB:AB)</f>
        <v>0</v>
      </c>
      <c r="DJ61" s="128">
        <f>_xlfn.XLOOKUP(L61,数据更新表!Z:Z,数据更新表!AC:AC)</f>
        <v>0</v>
      </c>
      <c r="DK61" s="133">
        <f>_xlfn.XLOOKUP(L61,数据更新表!Z:Z,数据更新表!AI:AI)</f>
        <v>0</v>
      </c>
      <c r="DL61" s="133">
        <f>_xlfn.XLOOKUP(L61,数据更新表!AL:AL,数据更新表!AM:AM)</f>
        <v>0</v>
      </c>
      <c r="DM61" s="131">
        <f>_xlfn.XLOOKUP(L61,数据更新表!Z:Z,数据更新表!AJ:AJ)</f>
        <v>0</v>
      </c>
      <c r="EE61" s="158">
        <f>_xlfn.XLOOKUP(L61,数据更新表!J:J,数据更新表!L:L)</f>
        <v>0</v>
      </c>
      <c r="EF61" s="158">
        <f>_xlfn.XLOOKUP(L61,数据更新表!J:J,数据更新表!M:M)</f>
        <v>0</v>
      </c>
      <c r="EJ61" s="190">
        <f t="shared" si="7"/>
        <v>-516.1759</v>
      </c>
      <c r="EL61" s="192">
        <f t="shared" si="27"/>
        <v>491.1759</v>
      </c>
      <c r="EO61" s="190">
        <f t="shared" si="12"/>
        <v>0</v>
      </c>
      <c r="EP61" s="182">
        <f>IF(EE61&lt;299,IF(EE61&lt;99,25,IF(EE61&lt;=149,30,IF(EE61&lt;=299,37,85))),IF(EE61&lt;=498,_xlfn.XLOOKUP(EW61,运费表!A:A,运费表!C:C,"重量超限",-1),_xlfn.XLOOKUP(EW61,运费表!A:A,运费表!D:D,"重量超限",-1)))</f>
        <v>25</v>
      </c>
      <c r="EQ61" s="182">
        <f t="shared" si="13"/>
        <v>0</v>
      </c>
      <c r="ER61" s="158">
        <f>_xlfn.XLOOKUP(K61,[4]目录表!$H:$H,[4]目录表!$X:$X)</f>
        <v>23</v>
      </c>
      <c r="ES61" s="158">
        <f>_xlfn.XLOOKUP(K61,[4]目录表!$H:$H,[4]目录表!$Y:$Y)</f>
        <v>123</v>
      </c>
      <c r="ET61" s="158">
        <f>_xlfn.XLOOKUP(K61,[4]目录表!$H:$H,[4]目录表!$Z:$Z)</f>
        <v>36</v>
      </c>
      <c r="EU61" s="158">
        <f>_xlfn.XLOOKUP(K61,[4]目录表!$H:$H,[4]目录表!$AA:$AA)</f>
        <v>17</v>
      </c>
      <c r="EV61" s="158">
        <f t="shared" si="21"/>
        <v>15.0552</v>
      </c>
      <c r="EW61" s="158">
        <f t="shared" si="15"/>
        <v>23</v>
      </c>
      <c r="EX61" s="193">
        <f>_xlfn.XLOOKUP(K61,[2]目录表!$H:$H,[2]目录表!$AB:$AB)</f>
        <v>0.075276</v>
      </c>
      <c r="EZ61" s="194">
        <f t="shared" si="25"/>
        <v>0</v>
      </c>
      <c r="FK61" s="128" t="str">
        <f>_xlfn.XLOOKUP(K61,[2]目录表!$H:$H,[2]目录表!$AJ:$AJ)</f>
        <v>装柜</v>
      </c>
    </row>
    <row r="62" customHeight="1" spans="2:167">
      <c r="B62" s="208" t="s">
        <v>423</v>
      </c>
      <c r="C62" s="158">
        <v>7</v>
      </c>
      <c r="D62" s="158">
        <v>50</v>
      </c>
      <c r="E62" s="181" t="e">
        <f>_xlfn.XLOOKUP(K62,[3]工业配件!$AA:$AA,[3]工业配件!$L:$L)</f>
        <v>#N/A</v>
      </c>
      <c r="G62" s="158" t="s">
        <v>411</v>
      </c>
      <c r="H62" s="203" t="s">
        <v>424</v>
      </c>
      <c r="J62" s="203" t="s">
        <v>425</v>
      </c>
      <c r="K62" s="203" t="s">
        <v>426</v>
      </c>
      <c r="M62" s="189" t="s">
        <v>183</v>
      </c>
      <c r="N62" s="131">
        <f>_xlfn.XLOOKUP(L62,数据更新表!J:J,数据更新表!K:K)</f>
        <v>0</v>
      </c>
      <c r="O62" s="131" t="str">
        <f>IFERROR(_xlfn.XLOOKUP(K62,数据更新表!A:A,数据更新表!B:B),"0")</f>
        <v>0</v>
      </c>
      <c r="P62" s="131">
        <f>_xlfn.XLOOKUP(K62,[1]库销表!$F:$F,[1]库销表!$L:$L)</f>
        <v>0</v>
      </c>
      <c r="Q62" s="184" t="e">
        <f t="shared" si="0"/>
        <v>#DIV/0!</v>
      </c>
      <c r="S62" s="128" t="e">
        <f>_xlfn.XLOOKUP(K62,数据更新表!R:R,数据更新表!S:S)</f>
        <v>#N/A</v>
      </c>
      <c r="T62" s="128" t="e">
        <f>_xlfn.XLOOKUP(K62,数据更新表!V:V,数据更新表!W:W)</f>
        <v>#N/A</v>
      </c>
      <c r="V62" s="185" t="str">
        <f t="shared" si="1"/>
        <v>0</v>
      </c>
      <c r="W62" s="158">
        <f t="shared" si="2"/>
        <v>0</v>
      </c>
      <c r="X62" s="158">
        <f t="shared" si="24"/>
        <v>0</v>
      </c>
      <c r="AF62" s="128">
        <f t="shared" si="23"/>
        <v>0</v>
      </c>
      <c r="BR62" s="131"/>
      <c r="BS62" s="131">
        <f>_xlfn.XLOOKUP(K62,[1]库销表!$F:$F,[1]库销表!$L:$L)</f>
        <v>0</v>
      </c>
      <c r="BT62" s="131">
        <f t="shared" si="4"/>
        <v>0</v>
      </c>
      <c r="CW62" s="131">
        <f>_xlfn.XLOOKUP(K62,[1]库销表!$F:$F,[1]库销表!$IE:$IE)</f>
        <v>0</v>
      </c>
      <c r="CX62" s="131">
        <f>_xlfn.XLOOKUP(K62,[1]库销表!$F:$F,[1]库销表!$IF:$IF)</f>
        <v>0</v>
      </c>
      <c r="CY62" s="186">
        <f>_xlfn.XLOOKUP(K62,[1]库销表!$F:$F,[1]库销表!$FL:$FL)</f>
        <v>0</v>
      </c>
      <c r="CZ62" s="131">
        <f>_xlfn.XLOOKUP(K62,数据更新表!E:E,数据更新表!F:F,0)</f>
        <v>0</v>
      </c>
      <c r="DA62" s="131">
        <v>0</v>
      </c>
      <c r="DB62" s="131" t="e">
        <f>_xlfn.XLOOKUP(K62,数据更新表!E:E,数据更新表!G:G)</f>
        <v>#N/A</v>
      </c>
      <c r="DC62" s="187">
        <f>_xlfn.XLOOKUP(L62,数据更新表!Z:Z,数据更新表!AH:AH)</f>
        <v>0</v>
      </c>
      <c r="DD62" s="131">
        <f>_xlfn.XLOOKUP(L62,数据更新表!Z:Z,数据更新表!AE:AE)</f>
        <v>0</v>
      </c>
      <c r="DE62" s="131">
        <f>_xlfn.XLOOKUP(L62,数据更新表!Z:Z,数据更新表!AF:AF)</f>
        <v>0</v>
      </c>
      <c r="DF62" s="131" t="e">
        <f>_xlfn.XLOOKUP(K62,数据更新表!Z:Z,数据更新表!AG:AG)</f>
        <v>#N/A</v>
      </c>
      <c r="DG62" s="128">
        <f>_xlfn.XLOOKUP(L62,数据更新表!Z:Z,数据更新表!AD:AD)</f>
        <v>0</v>
      </c>
      <c r="DH62" s="128">
        <f>_xlfn.XLOOKUP(L62,数据更新表!Z:Z,数据更新表!AA:AA)</f>
        <v>0</v>
      </c>
      <c r="DI62" s="128">
        <f>_xlfn.XLOOKUP(L62,数据更新表!Z:Z,数据更新表!AB:AB)</f>
        <v>0</v>
      </c>
      <c r="DJ62" s="128">
        <f>_xlfn.XLOOKUP(L62,数据更新表!Z:Z,数据更新表!AC:AC)</f>
        <v>0</v>
      </c>
      <c r="DK62" s="133">
        <f>_xlfn.XLOOKUP(L62,数据更新表!Z:Z,数据更新表!AI:AI)</f>
        <v>0</v>
      </c>
      <c r="DL62" s="133">
        <f>_xlfn.XLOOKUP(L62,数据更新表!AL:AL,数据更新表!AM:AM)</f>
        <v>0</v>
      </c>
      <c r="DM62" s="131">
        <f>_xlfn.XLOOKUP(L62,数据更新表!Z:Z,数据更新表!AJ:AJ)</f>
        <v>0</v>
      </c>
      <c r="EE62" s="158">
        <f>_xlfn.XLOOKUP(L62,数据更新表!J:J,数据更新表!L:L)</f>
        <v>0</v>
      </c>
      <c r="EF62" s="158">
        <f>_xlfn.XLOOKUP(L62,数据更新表!J:J,数据更新表!M:M)</f>
        <v>0</v>
      </c>
      <c r="EJ62" s="190">
        <f t="shared" si="7"/>
        <v>-814.675075</v>
      </c>
      <c r="EL62" s="192">
        <f t="shared" si="27"/>
        <v>789.675075</v>
      </c>
      <c r="EO62" s="190">
        <f t="shared" si="12"/>
        <v>0</v>
      </c>
      <c r="EP62" s="182">
        <f>IF(EE62&lt;299,IF(EE62&lt;99,25,IF(EE62&lt;=149,30,IF(EE62&lt;=299,37,85))),IF(EE62&lt;=498,_xlfn.XLOOKUP(EW62,运费表!A:A,运费表!C:C,"重量超限",-1),_xlfn.XLOOKUP(EW62,运费表!A:A,运费表!D:D,"重量超限",-1)))</f>
        <v>25</v>
      </c>
      <c r="EQ62" s="182">
        <f t="shared" si="13"/>
        <v>0</v>
      </c>
      <c r="ER62" s="158">
        <f>_xlfn.XLOOKUP(K62,[4]目录表!$H:$H,[4]目录表!$X:$X)</f>
        <v>26</v>
      </c>
      <c r="ES62" s="158">
        <f>_xlfn.XLOOKUP(K62,[4]目录表!$H:$H,[4]目录表!$Y:$Y)</f>
        <v>113</v>
      </c>
      <c r="ET62" s="158">
        <f>_xlfn.XLOOKUP(K62,[4]目录表!$H:$H,[4]目录表!$Z:$Z)</f>
        <v>63</v>
      </c>
      <c r="EU62" s="158">
        <f>_xlfn.XLOOKUP(K62,[4]目录表!$H:$H,[4]目录表!$AA:$AA)</f>
        <v>17</v>
      </c>
      <c r="EV62" s="158">
        <f t="shared" si="21"/>
        <v>24.2046</v>
      </c>
      <c r="EW62" s="158">
        <f t="shared" si="15"/>
        <v>26</v>
      </c>
      <c r="EX62" s="193">
        <f>_xlfn.XLOOKUP(K62,[2]目录表!$H:$H,[2]目录表!$AB:$AB)</f>
        <v>0.121023</v>
      </c>
      <c r="EZ62" s="194">
        <f t="shared" si="25"/>
        <v>0</v>
      </c>
      <c r="FK62" s="128" t="str">
        <f>_xlfn.XLOOKUP(K62,[2]目录表!$H:$H,[2]目录表!$AJ:$AJ)</f>
        <v>装柜</v>
      </c>
    </row>
    <row r="63" customHeight="1" spans="2:167">
      <c r="B63" s="208" t="s">
        <v>427</v>
      </c>
      <c r="C63" s="158">
        <v>32</v>
      </c>
      <c r="D63" s="158">
        <v>118</v>
      </c>
      <c r="E63" s="181" t="e">
        <f>_xlfn.XLOOKUP(K63,[3]工业配件!$AA:$AA,[3]工业配件!$L:$L)</f>
        <v>#N/A</v>
      </c>
      <c r="G63" s="158" t="s">
        <v>411</v>
      </c>
      <c r="H63" s="203" t="s">
        <v>428</v>
      </c>
      <c r="J63" s="203" t="s">
        <v>429</v>
      </c>
      <c r="K63" s="203" t="s">
        <v>430</v>
      </c>
      <c r="M63" s="189" t="s">
        <v>183</v>
      </c>
      <c r="N63" s="131">
        <f>_xlfn.XLOOKUP(L63,数据更新表!J:J,数据更新表!K:K)</f>
        <v>0</v>
      </c>
      <c r="O63" s="131" t="str">
        <f>IFERROR(_xlfn.XLOOKUP(K63,数据更新表!A:A,数据更新表!B:B),"0")</f>
        <v>0</v>
      </c>
      <c r="P63" s="131">
        <f>_xlfn.XLOOKUP(K63,[1]库销表!$F:$F,[1]库销表!$L:$L)</f>
        <v>0</v>
      </c>
      <c r="Q63" s="184" t="e">
        <f t="shared" si="0"/>
        <v>#DIV/0!</v>
      </c>
      <c r="S63" s="128" t="e">
        <f>_xlfn.XLOOKUP(K63,数据更新表!R:R,数据更新表!S:S)</f>
        <v>#N/A</v>
      </c>
      <c r="T63" s="128" t="e">
        <f>_xlfn.XLOOKUP(K63,数据更新表!V:V,数据更新表!W:W)</f>
        <v>#N/A</v>
      </c>
      <c r="V63" s="185" t="str">
        <f t="shared" si="1"/>
        <v>0</v>
      </c>
      <c r="W63" s="158">
        <f t="shared" si="2"/>
        <v>0</v>
      </c>
      <c r="X63" s="158">
        <f t="shared" si="24"/>
        <v>0</v>
      </c>
      <c r="AF63" s="128">
        <f t="shared" si="23"/>
        <v>0</v>
      </c>
      <c r="BR63" s="131"/>
      <c r="BS63" s="131">
        <f>_xlfn.XLOOKUP(K63,[1]库销表!$F:$F,[1]库销表!$L:$L)</f>
        <v>0</v>
      </c>
      <c r="BT63" s="131">
        <f t="shared" si="4"/>
        <v>0</v>
      </c>
      <c r="CW63" s="131">
        <f>_xlfn.XLOOKUP(K63,[1]库销表!$F:$F,[1]库销表!$IE:$IE)</f>
        <v>0</v>
      </c>
      <c r="CX63" s="131">
        <f>_xlfn.XLOOKUP(K63,[1]库销表!$F:$F,[1]库销表!$IF:$IF)</f>
        <v>0</v>
      </c>
      <c r="CY63" s="186">
        <f>_xlfn.XLOOKUP(K63,[1]库销表!$F:$F,[1]库销表!$FL:$FL)</f>
        <v>0</v>
      </c>
      <c r="CZ63" s="131">
        <f>_xlfn.XLOOKUP(K63,数据更新表!E:E,数据更新表!F:F,0)</f>
        <v>0</v>
      </c>
      <c r="DA63" s="131">
        <v>0</v>
      </c>
      <c r="DB63" s="131" t="e">
        <f>_xlfn.XLOOKUP(K63,数据更新表!E:E,数据更新表!G:G)</f>
        <v>#N/A</v>
      </c>
      <c r="DC63" s="187">
        <f>_xlfn.XLOOKUP(L63,数据更新表!Z:Z,数据更新表!AH:AH)</f>
        <v>0</v>
      </c>
      <c r="DD63" s="131">
        <f>_xlfn.XLOOKUP(L63,数据更新表!Z:Z,数据更新表!AE:AE)</f>
        <v>0</v>
      </c>
      <c r="DE63" s="131">
        <f>_xlfn.XLOOKUP(L63,数据更新表!Z:Z,数据更新表!AF:AF)</f>
        <v>0</v>
      </c>
      <c r="DF63" s="131" t="e">
        <f>_xlfn.XLOOKUP(K63,数据更新表!Z:Z,数据更新表!AG:AG)</f>
        <v>#N/A</v>
      </c>
      <c r="DG63" s="128">
        <f>_xlfn.XLOOKUP(L63,数据更新表!Z:Z,数据更新表!AD:AD)</f>
        <v>0</v>
      </c>
      <c r="DH63" s="128">
        <f>_xlfn.XLOOKUP(L63,数据更新表!Z:Z,数据更新表!AA:AA)</f>
        <v>0</v>
      </c>
      <c r="DI63" s="128">
        <f>_xlfn.XLOOKUP(L63,数据更新表!Z:Z,数据更新表!AB:AB)</f>
        <v>0</v>
      </c>
      <c r="DJ63" s="128">
        <f>_xlfn.XLOOKUP(L63,数据更新表!Z:Z,数据更新表!AC:AC)</f>
        <v>0</v>
      </c>
      <c r="DK63" s="133">
        <f>_xlfn.XLOOKUP(L63,数据更新表!Z:Z,数据更新表!AI:AI)</f>
        <v>0</v>
      </c>
      <c r="DL63" s="133">
        <f>_xlfn.XLOOKUP(L63,数据更新表!AL:AL,数据更新表!AM:AM)</f>
        <v>0</v>
      </c>
      <c r="DM63" s="131">
        <f>_xlfn.XLOOKUP(L63,数据更新表!Z:Z,数据更新表!AJ:AJ)</f>
        <v>0</v>
      </c>
      <c r="EE63" s="158">
        <f>_xlfn.XLOOKUP(L63,数据更新表!J:J,数据更新表!L:L)</f>
        <v>0</v>
      </c>
      <c r="EF63" s="158">
        <f>_xlfn.XLOOKUP(L63,数据更新表!J:J,数据更新表!M:M)</f>
        <v>0</v>
      </c>
      <c r="EJ63" s="190">
        <f t="shared" si="7"/>
        <v>-645.17515</v>
      </c>
      <c r="EL63" s="192">
        <f t="shared" si="27"/>
        <v>620.17515</v>
      </c>
      <c r="EO63" s="190">
        <f t="shared" si="12"/>
        <v>0</v>
      </c>
      <c r="EP63" s="182">
        <f>IF(EE63&lt;299,IF(EE63&lt;99,25,IF(EE63&lt;=149,30,IF(EE63&lt;=299,37,85))),IF(EE63&lt;=498,_xlfn.XLOOKUP(EW63,运费表!A:A,运费表!C:C,"重量超限",-1),_xlfn.XLOOKUP(EW63,运费表!A:A,运费表!D:D,"重量超限",-1)))</f>
        <v>25</v>
      </c>
      <c r="EQ63" s="182">
        <f t="shared" si="13"/>
        <v>0</v>
      </c>
      <c r="ER63" s="158">
        <f>_xlfn.XLOOKUP(K63,[4]目录表!$H:$H,[4]目录表!$X:$X)</f>
        <v>19</v>
      </c>
      <c r="ES63" s="158">
        <f>_xlfn.XLOOKUP(K63,[4]目录表!$H:$H,[4]目录表!$Y:$Y)</f>
        <v>93</v>
      </c>
      <c r="ET63" s="158">
        <f>_xlfn.XLOOKUP(K63,[4]目录表!$H:$H,[4]目录表!$Z:$Z)</f>
        <v>73</v>
      </c>
      <c r="EU63" s="158">
        <f>_xlfn.XLOOKUP(K63,[4]目录表!$H:$H,[4]目录表!$AA:$AA)</f>
        <v>14</v>
      </c>
      <c r="EV63" s="158">
        <f t="shared" si="21"/>
        <v>19.0092</v>
      </c>
      <c r="EW63" s="158">
        <f t="shared" si="15"/>
        <v>19.0092</v>
      </c>
      <c r="EX63" s="193">
        <f>_xlfn.XLOOKUP(K63,[2]目录表!$H:$H,[2]目录表!$AB:$AB)</f>
        <v>0.095046</v>
      </c>
      <c r="EZ63" s="194">
        <f t="shared" si="25"/>
        <v>0</v>
      </c>
      <c r="FK63" s="128" t="str">
        <f>_xlfn.XLOOKUP(K63,[2]目录表!$H:$H,[2]目录表!$AJ:$AJ)</f>
        <v>装柜</v>
      </c>
    </row>
    <row r="64" customHeight="1" spans="2:167">
      <c r="B64" s="208" t="s">
        <v>431</v>
      </c>
      <c r="C64" s="158">
        <v>4</v>
      </c>
      <c r="D64" s="158">
        <v>14</v>
      </c>
      <c r="E64" s="181" t="e">
        <f>_xlfn.XLOOKUP(K64,[3]工业配件!$AA:$AA,[3]工业配件!$L:$L)</f>
        <v>#N/A</v>
      </c>
      <c r="G64" s="158" t="s">
        <v>411</v>
      </c>
      <c r="H64" s="203" t="s">
        <v>432</v>
      </c>
      <c r="J64" s="203" t="s">
        <v>433</v>
      </c>
      <c r="K64" s="203" t="s">
        <v>434</v>
      </c>
      <c r="M64" s="189" t="s">
        <v>183</v>
      </c>
      <c r="N64" s="131">
        <f>_xlfn.XLOOKUP(L64,数据更新表!J:J,数据更新表!K:K)</f>
        <v>0</v>
      </c>
      <c r="O64" s="131" t="str">
        <f>IFERROR(_xlfn.XLOOKUP(K64,数据更新表!A:A,数据更新表!B:B),"0")</f>
        <v>0</v>
      </c>
      <c r="P64" s="131">
        <f>_xlfn.XLOOKUP(K64,[1]库销表!$F:$F,[1]库销表!$L:$L)</f>
        <v>0</v>
      </c>
      <c r="Q64" s="184" t="e">
        <f t="shared" si="0"/>
        <v>#DIV/0!</v>
      </c>
      <c r="S64" s="128" t="e">
        <f>_xlfn.XLOOKUP(K64,数据更新表!R:R,数据更新表!S:S)</f>
        <v>#N/A</v>
      </c>
      <c r="T64" s="128" t="e">
        <f>_xlfn.XLOOKUP(K64,数据更新表!V:V,数据更新表!W:W)</f>
        <v>#N/A</v>
      </c>
      <c r="V64" s="185" t="str">
        <f t="shared" si="1"/>
        <v>0</v>
      </c>
      <c r="W64" s="158">
        <f t="shared" si="2"/>
        <v>0</v>
      </c>
      <c r="X64" s="158">
        <f t="shared" si="24"/>
        <v>0</v>
      </c>
      <c r="AF64" s="128">
        <f t="shared" si="23"/>
        <v>0</v>
      </c>
      <c r="BR64" s="131"/>
      <c r="BS64" s="131">
        <f>_xlfn.XLOOKUP(K64,[1]库销表!$F:$F,[1]库销表!$L:$L)</f>
        <v>0</v>
      </c>
      <c r="BT64" s="131">
        <f t="shared" si="4"/>
        <v>0</v>
      </c>
      <c r="CW64" s="131">
        <f>_xlfn.XLOOKUP(K64,[1]库销表!$F:$F,[1]库销表!$IE:$IE)</f>
        <v>0</v>
      </c>
      <c r="CX64" s="131">
        <f>_xlfn.XLOOKUP(K64,[1]库销表!$F:$F,[1]库销表!$IF:$IF)</f>
        <v>0</v>
      </c>
      <c r="CY64" s="186">
        <f>_xlfn.XLOOKUP(K64,[1]库销表!$F:$F,[1]库销表!$FL:$FL)</f>
        <v>0</v>
      </c>
      <c r="CZ64" s="131">
        <f>_xlfn.XLOOKUP(K64,数据更新表!E:E,数据更新表!F:F,0)</f>
        <v>0</v>
      </c>
      <c r="DA64" s="131">
        <v>0</v>
      </c>
      <c r="DB64" s="131" t="e">
        <f>_xlfn.XLOOKUP(K64,数据更新表!E:E,数据更新表!G:G)</f>
        <v>#N/A</v>
      </c>
      <c r="DC64" s="187">
        <f>_xlfn.XLOOKUP(L64,数据更新表!Z:Z,数据更新表!AH:AH)</f>
        <v>0</v>
      </c>
      <c r="DD64" s="131">
        <f>_xlfn.XLOOKUP(L64,数据更新表!Z:Z,数据更新表!AE:AE)</f>
        <v>0</v>
      </c>
      <c r="DE64" s="131">
        <f>_xlfn.XLOOKUP(L64,数据更新表!Z:Z,数据更新表!AF:AF)</f>
        <v>0</v>
      </c>
      <c r="DF64" s="131" t="e">
        <f>_xlfn.XLOOKUP(K64,数据更新表!Z:Z,数据更新表!AG:AG)</f>
        <v>#N/A</v>
      </c>
      <c r="DG64" s="128">
        <f>_xlfn.XLOOKUP(L64,数据更新表!Z:Z,数据更新表!AD:AD)</f>
        <v>0</v>
      </c>
      <c r="DH64" s="128">
        <f>_xlfn.XLOOKUP(L64,数据更新表!Z:Z,数据更新表!AA:AA)</f>
        <v>0</v>
      </c>
      <c r="DI64" s="128">
        <f>_xlfn.XLOOKUP(L64,数据更新表!Z:Z,数据更新表!AB:AB)</f>
        <v>0</v>
      </c>
      <c r="DJ64" s="128">
        <f>_xlfn.XLOOKUP(L64,数据更新表!Z:Z,数据更新表!AC:AC)</f>
        <v>0</v>
      </c>
      <c r="DK64" s="133">
        <f>_xlfn.XLOOKUP(L64,数据更新表!Z:Z,数据更新表!AI:AI)</f>
        <v>0</v>
      </c>
      <c r="DL64" s="133">
        <f>_xlfn.XLOOKUP(L64,数据更新表!AL:AL,数据更新表!AM:AM)</f>
        <v>0</v>
      </c>
      <c r="DM64" s="131">
        <f>_xlfn.XLOOKUP(L64,数据更新表!Z:Z,数据更新表!AJ:AJ)</f>
        <v>0</v>
      </c>
      <c r="EE64" s="158">
        <f>_xlfn.XLOOKUP(L64,数据更新表!J:J,数据更新表!L:L)</f>
        <v>0</v>
      </c>
      <c r="EF64" s="158">
        <f>_xlfn.XLOOKUP(L64,数据更新表!J:J,数据更新表!M:M)</f>
        <v>0</v>
      </c>
      <c r="EJ64" s="190">
        <f t="shared" si="7"/>
        <v>-281.60215</v>
      </c>
      <c r="EL64" s="192">
        <f t="shared" si="27"/>
        <v>256.60215</v>
      </c>
      <c r="EO64" s="190">
        <f t="shared" si="12"/>
        <v>0</v>
      </c>
      <c r="EP64" s="182">
        <f>IF(EE64&lt;299,IF(EE64&lt;99,25,IF(EE64&lt;=149,30,IF(EE64&lt;=299,37,85))),IF(EE64&lt;=498,_xlfn.XLOOKUP(EW64,运费表!A:A,运费表!C:C,"重量超限",-1),_xlfn.XLOOKUP(EW64,运费表!A:A,运费表!D:D,"重量超限",-1)))</f>
        <v>25</v>
      </c>
      <c r="EQ64" s="182">
        <f t="shared" si="13"/>
        <v>0</v>
      </c>
      <c r="ER64" s="158">
        <f>_xlfn.XLOOKUP(K64,[4]目录表!$H:$H,[4]目录表!$X:$X)</f>
        <v>12.5</v>
      </c>
      <c r="ES64" s="158">
        <f>_xlfn.XLOOKUP(K64,[4]目录表!$H:$H,[4]目录表!$Y:$Y)</f>
        <v>53</v>
      </c>
      <c r="ET64" s="158">
        <f>_xlfn.XLOOKUP(K64,[4]目录表!$H:$H,[4]目录表!$Z:$Z)</f>
        <v>53</v>
      </c>
      <c r="EU64" s="158">
        <f>_xlfn.XLOOKUP(K64,[4]目录表!$H:$H,[4]目录表!$AA:$AA)</f>
        <v>14</v>
      </c>
      <c r="EV64" s="158">
        <f t="shared" si="21"/>
        <v>7.8652</v>
      </c>
      <c r="EW64" s="158">
        <f t="shared" si="15"/>
        <v>12.5</v>
      </c>
      <c r="EX64" s="193">
        <f>_xlfn.XLOOKUP(K64,[2]目录表!$H:$H,[2]目录表!$AB:$AB)</f>
        <v>0.039326</v>
      </c>
      <c r="EZ64" s="194">
        <f t="shared" si="25"/>
        <v>0</v>
      </c>
      <c r="FK64" s="128" t="str">
        <f>_xlfn.XLOOKUP(K64,[2]目录表!$H:$H,[2]目录表!$AJ:$AJ)</f>
        <v>装柜</v>
      </c>
    </row>
    <row r="65" customHeight="1" spans="2:167">
      <c r="B65" s="208" t="s">
        <v>435</v>
      </c>
      <c r="C65" s="158">
        <v>13</v>
      </c>
      <c r="D65" s="158">
        <v>39</v>
      </c>
      <c r="E65" s="181" t="e">
        <f>_xlfn.XLOOKUP(K65,[3]工业配件!$AA:$AA,[3]工业配件!$L:$L)</f>
        <v>#N/A</v>
      </c>
      <c r="G65" s="158" t="s">
        <v>411</v>
      </c>
      <c r="H65" s="203" t="s">
        <v>436</v>
      </c>
      <c r="J65" s="203" t="s">
        <v>437</v>
      </c>
      <c r="K65" s="203" t="s">
        <v>438</v>
      </c>
      <c r="M65" s="189" t="s">
        <v>183</v>
      </c>
      <c r="N65" s="131">
        <f>_xlfn.XLOOKUP(L65,数据更新表!J:J,数据更新表!K:K)</f>
        <v>0</v>
      </c>
      <c r="O65" s="131" t="str">
        <f>IFERROR(_xlfn.XLOOKUP(K65,数据更新表!A:A,数据更新表!B:B),"0")</f>
        <v>0</v>
      </c>
      <c r="P65" s="131">
        <f>_xlfn.XLOOKUP(K65,[1]库销表!$F:$F,[1]库销表!$L:$L)</f>
        <v>0</v>
      </c>
      <c r="Q65" s="184" t="e">
        <f t="shared" si="0"/>
        <v>#DIV/0!</v>
      </c>
      <c r="S65" s="128" t="e">
        <f>_xlfn.XLOOKUP(K65,数据更新表!R:R,数据更新表!S:S)</f>
        <v>#N/A</v>
      </c>
      <c r="T65" s="128" t="e">
        <f>_xlfn.XLOOKUP(K65,数据更新表!V:V,数据更新表!W:W)</f>
        <v>#N/A</v>
      </c>
      <c r="V65" s="185" t="str">
        <f t="shared" si="1"/>
        <v>0</v>
      </c>
      <c r="W65" s="158">
        <f t="shared" si="2"/>
        <v>0</v>
      </c>
      <c r="X65" s="158">
        <f t="shared" si="24"/>
        <v>0</v>
      </c>
      <c r="AF65" s="128">
        <f t="shared" si="23"/>
        <v>0</v>
      </c>
      <c r="BR65" s="131"/>
      <c r="BS65" s="131">
        <f>_xlfn.XLOOKUP(K65,[1]库销表!$F:$F,[1]库销表!$L:$L)</f>
        <v>0</v>
      </c>
      <c r="BT65" s="131">
        <f t="shared" si="4"/>
        <v>0</v>
      </c>
      <c r="CW65" s="131">
        <f>_xlfn.XLOOKUP(K65,[1]库销表!$F:$F,[1]库销表!$IE:$IE)</f>
        <v>0</v>
      </c>
      <c r="CX65" s="131">
        <f>_xlfn.XLOOKUP(K65,[1]库销表!$F:$F,[1]库销表!$IF:$IF)</f>
        <v>0</v>
      </c>
      <c r="CY65" s="186">
        <f>_xlfn.XLOOKUP(K65,[1]库销表!$F:$F,[1]库销表!$FL:$FL)</f>
        <v>0</v>
      </c>
      <c r="CZ65" s="131">
        <f>_xlfn.XLOOKUP(K65,数据更新表!E:E,数据更新表!F:F,0)</f>
        <v>0</v>
      </c>
      <c r="DA65" s="131">
        <v>0</v>
      </c>
      <c r="DB65" s="131" t="e">
        <f>_xlfn.XLOOKUP(K65,数据更新表!E:E,数据更新表!G:G)</f>
        <v>#N/A</v>
      </c>
      <c r="DC65" s="187">
        <f>_xlfn.XLOOKUP(L65,数据更新表!Z:Z,数据更新表!AH:AH)</f>
        <v>0</v>
      </c>
      <c r="DD65" s="131">
        <f>_xlfn.XLOOKUP(L65,数据更新表!Z:Z,数据更新表!AE:AE)</f>
        <v>0</v>
      </c>
      <c r="DE65" s="131">
        <f>_xlfn.XLOOKUP(L65,数据更新表!Z:Z,数据更新表!AF:AF)</f>
        <v>0</v>
      </c>
      <c r="DF65" s="131" t="e">
        <f>_xlfn.XLOOKUP(K65,数据更新表!Z:Z,数据更新表!AG:AG)</f>
        <v>#N/A</v>
      </c>
      <c r="DG65" s="128">
        <f>_xlfn.XLOOKUP(L65,数据更新表!Z:Z,数据更新表!AD:AD)</f>
        <v>0</v>
      </c>
      <c r="DH65" s="128">
        <f>_xlfn.XLOOKUP(L65,数据更新表!Z:Z,数据更新表!AA:AA)</f>
        <v>0</v>
      </c>
      <c r="DI65" s="128">
        <f>_xlfn.XLOOKUP(L65,数据更新表!Z:Z,数据更新表!AB:AB)</f>
        <v>0</v>
      </c>
      <c r="DJ65" s="128">
        <f>_xlfn.XLOOKUP(L65,数据更新表!Z:Z,数据更新表!AC:AC)</f>
        <v>0</v>
      </c>
      <c r="DK65" s="133">
        <f>_xlfn.XLOOKUP(L65,数据更新表!Z:Z,数据更新表!AI:AI)</f>
        <v>0</v>
      </c>
      <c r="DL65" s="133">
        <f>_xlfn.XLOOKUP(L65,数据更新表!AL:AL,数据更新表!AM:AM)</f>
        <v>0</v>
      </c>
      <c r="DM65" s="131">
        <f>_xlfn.XLOOKUP(L65,数据更新表!Z:Z,数据更新表!AJ:AJ)</f>
        <v>0</v>
      </c>
      <c r="EE65" s="158">
        <f>_xlfn.XLOOKUP(L65,数据更新表!J:J,数据更新表!L:L)</f>
        <v>0</v>
      </c>
      <c r="EF65" s="158">
        <f>_xlfn.XLOOKUP(L65,数据更新表!J:J,数据更新表!M:M)</f>
        <v>0</v>
      </c>
      <c r="EJ65" s="190">
        <f t="shared" si="7"/>
        <v>-517.056775</v>
      </c>
      <c r="EL65" s="192">
        <f t="shared" si="27"/>
        <v>492.056775</v>
      </c>
      <c r="EO65" s="190">
        <f t="shared" si="12"/>
        <v>0</v>
      </c>
      <c r="EP65" s="182">
        <f>IF(EE65&lt;299,IF(EE65&lt;99,25,IF(EE65&lt;=149,30,IF(EE65&lt;=299,37,85))),IF(EE65&lt;=498,_xlfn.XLOOKUP(EW65,运费表!A:A,运费表!C:C,"重量超限",-1),_xlfn.XLOOKUP(EW65,运费表!A:A,运费表!D:D,"重量超限",-1)))</f>
        <v>25</v>
      </c>
      <c r="EQ65" s="182">
        <f t="shared" si="13"/>
        <v>0</v>
      </c>
      <c r="ER65" s="158">
        <f>_xlfn.XLOOKUP(K65,[4]目录表!$H:$H,[4]目录表!$X:$X)</f>
        <v>18</v>
      </c>
      <c r="ES65" s="158">
        <f>_xlfn.XLOOKUP(K65,[4]目录表!$H:$H,[4]目录表!$Y:$Y)</f>
        <v>63</v>
      </c>
      <c r="ET65" s="158">
        <f>_xlfn.XLOOKUP(K65,[4]目录表!$H:$H,[4]目录表!$Z:$Z)</f>
        <v>63</v>
      </c>
      <c r="EU65" s="158">
        <f>_xlfn.XLOOKUP(K65,[4]目录表!$H:$H,[4]目录表!$AA:$AA)</f>
        <v>19</v>
      </c>
      <c r="EV65" s="158">
        <f t="shared" si="21"/>
        <v>15.0822</v>
      </c>
      <c r="EW65" s="158">
        <f t="shared" si="15"/>
        <v>18</v>
      </c>
      <c r="EX65" s="193">
        <f>_xlfn.XLOOKUP(K65,[2]目录表!$H:$H,[2]目录表!$AB:$AB)</f>
        <v>0.075411</v>
      </c>
      <c r="EZ65" s="194">
        <f t="shared" si="25"/>
        <v>0</v>
      </c>
      <c r="FK65" s="128" t="str">
        <f>_xlfn.XLOOKUP(K65,[2]目录表!$H:$H,[2]目录表!$AJ:$AJ)</f>
        <v>装柜</v>
      </c>
    </row>
    <row r="66" customHeight="1" spans="2:167">
      <c r="B66" s="208" t="s">
        <v>439</v>
      </c>
      <c r="C66" s="158">
        <v>5</v>
      </c>
      <c r="D66" s="158">
        <v>26</v>
      </c>
      <c r="E66" s="181" t="e">
        <f>_xlfn.XLOOKUP(K66,[3]工业配件!$AA:$AA,[3]工业配件!$L:$L)</f>
        <v>#N/A</v>
      </c>
      <c r="G66" s="158" t="s">
        <v>440</v>
      </c>
      <c r="H66" s="203" t="s">
        <v>441</v>
      </c>
      <c r="J66" s="203" t="s">
        <v>442</v>
      </c>
      <c r="K66" s="203" t="s">
        <v>443</v>
      </c>
      <c r="M66" s="189" t="s">
        <v>183</v>
      </c>
      <c r="N66" s="131">
        <f>_xlfn.XLOOKUP(L66,数据更新表!J:J,数据更新表!K:K)</f>
        <v>0</v>
      </c>
      <c r="O66" s="131" t="str">
        <f>IFERROR(_xlfn.XLOOKUP(K66,数据更新表!A:A,数据更新表!B:B),"0")</f>
        <v>0</v>
      </c>
      <c r="P66" s="131">
        <f>_xlfn.XLOOKUP(K66,[1]库销表!$F:$F,[1]库销表!$L:$L)</f>
        <v>0</v>
      </c>
      <c r="Q66" s="184" t="e">
        <f t="shared" si="0"/>
        <v>#DIV/0!</v>
      </c>
      <c r="S66" s="128" t="e">
        <f>_xlfn.XLOOKUP(K66,数据更新表!R:R,数据更新表!S:S)</f>
        <v>#N/A</v>
      </c>
      <c r="T66" s="128" t="e">
        <f>_xlfn.XLOOKUP(K66,数据更新表!V:V,数据更新表!W:W)</f>
        <v>#N/A</v>
      </c>
      <c r="V66" s="185" t="str">
        <f t="shared" si="1"/>
        <v>0</v>
      </c>
      <c r="W66" s="158">
        <f t="shared" si="2"/>
        <v>0</v>
      </c>
      <c r="X66" s="158">
        <f t="shared" si="24"/>
        <v>0</v>
      </c>
      <c r="AF66" s="128">
        <f t="shared" si="23"/>
        <v>0</v>
      </c>
      <c r="BR66" s="131"/>
      <c r="BS66" s="131">
        <f>_xlfn.XLOOKUP(K66,[1]库销表!$F:$F,[1]库销表!$L:$L)</f>
        <v>0</v>
      </c>
      <c r="BT66" s="131">
        <f t="shared" si="4"/>
        <v>0</v>
      </c>
      <c r="CW66" s="131">
        <f>_xlfn.XLOOKUP(K66,[1]库销表!$F:$F,[1]库销表!$IE:$IE)</f>
        <v>0</v>
      </c>
      <c r="CX66" s="131">
        <f>_xlfn.XLOOKUP(K66,[1]库销表!$F:$F,[1]库销表!$IF:$IF)</f>
        <v>0</v>
      </c>
      <c r="CY66" s="186">
        <f>_xlfn.XLOOKUP(K66,[1]库销表!$F:$F,[1]库销表!$FL:$FL)</f>
        <v>0</v>
      </c>
      <c r="CZ66" s="131">
        <f>_xlfn.XLOOKUP(K66,数据更新表!E:E,数据更新表!F:F,0)</f>
        <v>0</v>
      </c>
      <c r="DA66" s="131">
        <v>0</v>
      </c>
      <c r="DB66" s="131" t="e">
        <f>_xlfn.XLOOKUP(K66,数据更新表!E:E,数据更新表!G:G)</f>
        <v>#N/A</v>
      </c>
      <c r="DC66" s="187">
        <f>_xlfn.XLOOKUP(L66,数据更新表!Z:Z,数据更新表!AH:AH)</f>
        <v>0</v>
      </c>
      <c r="DD66" s="131">
        <f>_xlfn.XLOOKUP(L66,数据更新表!Z:Z,数据更新表!AE:AE)</f>
        <v>0</v>
      </c>
      <c r="DE66" s="131">
        <f>_xlfn.XLOOKUP(L66,数据更新表!Z:Z,数据更新表!AF:AF)</f>
        <v>0</v>
      </c>
      <c r="DF66" s="131" t="e">
        <f>_xlfn.XLOOKUP(K66,数据更新表!Z:Z,数据更新表!AG:AG)</f>
        <v>#N/A</v>
      </c>
      <c r="DG66" s="128">
        <f>_xlfn.XLOOKUP(L66,数据更新表!Z:Z,数据更新表!AD:AD)</f>
        <v>0</v>
      </c>
      <c r="DH66" s="128">
        <f>_xlfn.XLOOKUP(L66,数据更新表!Z:Z,数据更新表!AA:AA)</f>
        <v>0</v>
      </c>
      <c r="DI66" s="128">
        <f>_xlfn.XLOOKUP(L66,数据更新表!Z:Z,数据更新表!AB:AB)</f>
        <v>0</v>
      </c>
      <c r="DJ66" s="128">
        <f>_xlfn.XLOOKUP(L66,数据更新表!Z:Z,数据更新表!AC:AC)</f>
        <v>0</v>
      </c>
      <c r="DK66" s="133">
        <f>_xlfn.XLOOKUP(L66,数据更新表!Z:Z,数据更新表!AI:AI)</f>
        <v>0</v>
      </c>
      <c r="DL66" s="133">
        <f>_xlfn.XLOOKUP(L66,数据更新表!AL:AL,数据更新表!AM:AM)</f>
        <v>0</v>
      </c>
      <c r="DM66" s="131">
        <f>_xlfn.XLOOKUP(L66,数据更新表!Z:Z,数据更新表!AJ:AJ)</f>
        <v>0</v>
      </c>
      <c r="EE66" s="158">
        <f>_xlfn.XLOOKUP(L66,数据更新表!J:J,数据更新表!L:L)</f>
        <v>0</v>
      </c>
      <c r="EF66" s="158">
        <f>_xlfn.XLOOKUP(L66,数据更新表!J:J,数据更新表!M:M)</f>
        <v>0</v>
      </c>
      <c r="EJ66" s="190">
        <f t="shared" si="7"/>
        <v>-541.8583</v>
      </c>
      <c r="EL66" s="192">
        <f t="shared" si="27"/>
        <v>516.8583</v>
      </c>
      <c r="EO66" s="190">
        <f t="shared" si="12"/>
        <v>0</v>
      </c>
      <c r="EP66" s="182">
        <f>IF(EE66&lt;299,IF(EE66&lt;99,25,IF(EE66&lt;=149,30,IF(EE66&lt;=299,37,85))),IF(EE66&lt;=498,_xlfn.XLOOKUP(EW66,运费表!A:A,运费表!C:C,"重量超限",-1),_xlfn.XLOOKUP(EW66,运费表!A:A,运费表!D:D,"重量超限",-1)))</f>
        <v>25</v>
      </c>
      <c r="EQ66" s="182">
        <f t="shared" si="13"/>
        <v>0</v>
      </c>
      <c r="ER66" s="158">
        <f>_xlfn.XLOOKUP(K66,[4]目录表!$H:$H,[4]目录表!$X:$X)</f>
        <v>22</v>
      </c>
      <c r="ES66" s="158">
        <f>_xlfn.XLOOKUP(K66,[4]目录表!$H:$H,[4]目录表!$Y:$Y)</f>
        <v>80.5</v>
      </c>
      <c r="ET66" s="158">
        <f>_xlfn.XLOOKUP(K66,[4]目录表!$H:$H,[4]目录表!$Z:$Z)</f>
        <v>61.5</v>
      </c>
      <c r="EU66" s="158">
        <f>_xlfn.XLOOKUP(K66,[4]目录表!$H:$H,[4]目录表!$AA:$AA)</f>
        <v>16</v>
      </c>
      <c r="EV66" s="158">
        <f t="shared" si="21"/>
        <v>15.8424</v>
      </c>
      <c r="EW66" s="158">
        <f t="shared" si="15"/>
        <v>22</v>
      </c>
      <c r="EX66" s="193">
        <f>_xlfn.XLOOKUP(K66,[2]目录表!$H:$H,[2]目录表!$AB:$AB)</f>
        <v>0.079212</v>
      </c>
      <c r="EZ66" s="194">
        <f t="shared" si="25"/>
        <v>0</v>
      </c>
      <c r="FK66" s="128" t="str">
        <f>_xlfn.XLOOKUP(K66,[2]目录表!$H:$H,[2]目录表!$AJ:$AJ)</f>
        <v>装柜</v>
      </c>
    </row>
    <row r="67" customHeight="1" spans="2:167">
      <c r="B67" s="208" t="s">
        <v>444</v>
      </c>
      <c r="C67" s="158">
        <v>4</v>
      </c>
      <c r="D67" s="158">
        <v>34</v>
      </c>
      <c r="E67" s="181" t="e">
        <f>_xlfn.XLOOKUP(K67,[3]工业配件!$AA:$AA,[3]工业配件!$L:$L)</f>
        <v>#N/A</v>
      </c>
      <c r="G67" s="158" t="s">
        <v>445</v>
      </c>
      <c r="H67" s="203" t="s">
        <v>446</v>
      </c>
      <c r="J67" s="203" t="s">
        <v>447</v>
      </c>
      <c r="K67" s="203" t="s">
        <v>448</v>
      </c>
      <c r="M67" s="189" t="s">
        <v>183</v>
      </c>
      <c r="N67" s="131">
        <f>_xlfn.XLOOKUP(L67,数据更新表!J:J,数据更新表!K:K)</f>
        <v>0</v>
      </c>
      <c r="O67" s="131" t="str">
        <f>IFERROR(_xlfn.XLOOKUP(K67,数据更新表!A:A,数据更新表!B:B),"0")</f>
        <v>0</v>
      </c>
      <c r="P67" s="131">
        <f>_xlfn.XLOOKUP(K67,[1]库销表!$F:$F,[1]库销表!$L:$L)</f>
        <v>0</v>
      </c>
      <c r="Q67" s="184" t="e">
        <f t="shared" ref="Q67:Q97" si="28">X67/W67</f>
        <v>#DIV/0!</v>
      </c>
      <c r="S67" s="128" t="e">
        <f>_xlfn.XLOOKUP(K67,数据更新表!R:R,数据更新表!S:S)</f>
        <v>#N/A</v>
      </c>
      <c r="T67" s="128" t="e">
        <f>_xlfn.XLOOKUP(K67,数据更新表!V:V,数据更新表!W:W)</f>
        <v>#N/A</v>
      </c>
      <c r="V67" s="185" t="str">
        <f t="shared" ref="V67:V97" si="29">IFERROR(7*O67/CZ67,"0")</f>
        <v>0</v>
      </c>
      <c r="W67" s="158">
        <f t="shared" ref="W67:W97" si="30">CZ67/7</f>
        <v>0</v>
      </c>
      <c r="X67" s="158">
        <f t="shared" si="24"/>
        <v>0</v>
      </c>
      <c r="AF67" s="128">
        <f t="shared" ref="AF67:AF97" si="31">SUM(AG67:BR67)</f>
        <v>0</v>
      </c>
      <c r="BR67" s="131"/>
      <c r="BS67" s="131">
        <f>_xlfn.XLOOKUP(K67,[1]库销表!$F:$F,[1]库销表!$L:$L)</f>
        <v>0</v>
      </c>
      <c r="BT67" s="131">
        <f t="shared" ref="BT67:BT97" si="32">SUM(BU67:CV67)</f>
        <v>0</v>
      </c>
      <c r="CW67" s="131">
        <f>_xlfn.XLOOKUP(K67,[1]库销表!$F:$F,[1]库销表!$IE:$IE)</f>
        <v>0</v>
      </c>
      <c r="CX67" s="131">
        <f>_xlfn.XLOOKUP(K67,[1]库销表!$F:$F,[1]库销表!$IF:$IF)</f>
        <v>0</v>
      </c>
      <c r="CY67" s="186">
        <f>_xlfn.XLOOKUP(K67,[1]库销表!$F:$F,[1]库销表!$FL:$FL)</f>
        <v>0</v>
      </c>
      <c r="CZ67" s="131">
        <f>_xlfn.XLOOKUP(K67,数据更新表!E:E,数据更新表!F:F,0)</f>
        <v>0</v>
      </c>
      <c r="DA67" s="131">
        <v>0</v>
      </c>
      <c r="DB67" s="131" t="e">
        <f>_xlfn.XLOOKUP(K67,数据更新表!E:E,数据更新表!G:G)</f>
        <v>#N/A</v>
      </c>
      <c r="DC67" s="187">
        <f>_xlfn.XLOOKUP(L67,数据更新表!Z:Z,数据更新表!AH:AH)</f>
        <v>0</v>
      </c>
      <c r="DD67" s="131">
        <f>_xlfn.XLOOKUP(L67,数据更新表!Z:Z,数据更新表!AE:AE)</f>
        <v>0</v>
      </c>
      <c r="DE67" s="131">
        <f>_xlfn.XLOOKUP(L67,数据更新表!Z:Z,数据更新表!AF:AF)</f>
        <v>0</v>
      </c>
      <c r="DF67" s="131" t="e">
        <f>_xlfn.XLOOKUP(K67,数据更新表!Z:Z,数据更新表!AG:AG)</f>
        <v>#N/A</v>
      </c>
      <c r="DG67" s="128">
        <f>_xlfn.XLOOKUP(L67,数据更新表!Z:Z,数据更新表!AD:AD)</f>
        <v>0</v>
      </c>
      <c r="DH67" s="128">
        <f>_xlfn.XLOOKUP(L67,数据更新表!Z:Z,数据更新表!AA:AA)</f>
        <v>0</v>
      </c>
      <c r="DI67" s="128">
        <f>_xlfn.XLOOKUP(L67,数据更新表!Z:Z,数据更新表!AB:AB)</f>
        <v>0</v>
      </c>
      <c r="DJ67" s="128">
        <f>_xlfn.XLOOKUP(L67,数据更新表!Z:Z,数据更新表!AC:AC)</f>
        <v>0</v>
      </c>
      <c r="DK67" s="133">
        <f>_xlfn.XLOOKUP(L67,数据更新表!Z:Z,数据更新表!AI:AI)</f>
        <v>0</v>
      </c>
      <c r="DL67" s="133">
        <f>_xlfn.XLOOKUP(L67,数据更新表!AL:AL,数据更新表!AM:AM)</f>
        <v>0</v>
      </c>
      <c r="DM67" s="131">
        <f>_xlfn.XLOOKUP(L67,数据更新表!Z:Z,数据更新表!AJ:AJ)</f>
        <v>0</v>
      </c>
      <c r="EE67" s="158">
        <f>_xlfn.XLOOKUP(L67,数据更新表!J:J,数据更新表!L:L)</f>
        <v>0</v>
      </c>
      <c r="EF67" s="158">
        <f>_xlfn.XLOOKUP(L67,数据更新表!J:J,数据更新表!M:M)</f>
        <v>0</v>
      </c>
      <c r="EJ67" s="190">
        <f t="shared" ref="EJ67:EJ97" si="33">EE67-EI67-EL67-EO67-EN67-EP67-EQ67</f>
        <v>-476.9476</v>
      </c>
      <c r="EL67" s="192">
        <f t="shared" si="27"/>
        <v>451.9476</v>
      </c>
      <c r="EO67" s="190">
        <f t="shared" ref="EO67:EO97" si="34">EE67*0.175</f>
        <v>0</v>
      </c>
      <c r="EP67" s="182">
        <f>IF(EE67&lt;299,IF(EE67&lt;99,25,IF(EE67&lt;=149,30,IF(EE67&lt;=299,37,85))),IF(EE67&lt;=498,_xlfn.XLOOKUP(EW67,运费表!A:A,运费表!C:C,"重量超限",-1),_xlfn.XLOOKUP(EW67,运费表!A:A,运费表!D:D,"重量超限",-1)))</f>
        <v>25</v>
      </c>
      <c r="EQ67" s="182">
        <f t="shared" ref="EQ67:EQ97" si="35">EE67*0.105</f>
        <v>0</v>
      </c>
      <c r="ER67" s="158">
        <f>_xlfn.XLOOKUP(K67,[4]目录表!$H:$H,[4]目录表!$X:$X)</f>
        <v>6.7</v>
      </c>
      <c r="ES67" s="158">
        <f>_xlfn.XLOOKUP(K67,[4]目录表!$H:$H,[4]目录表!$Y:$Y)</f>
        <v>74</v>
      </c>
      <c r="ET67" s="158">
        <f>_xlfn.XLOOKUP(K67,[4]目录表!$H:$H,[4]目录表!$Z:$Z)</f>
        <v>26</v>
      </c>
      <c r="EU67" s="158">
        <f>_xlfn.XLOOKUP(K67,[4]目录表!$H:$H,[4]目录表!$AA:$AA)</f>
        <v>36</v>
      </c>
      <c r="EV67" s="158">
        <f t="shared" si="21"/>
        <v>13.8528</v>
      </c>
      <c r="EW67" s="158">
        <f t="shared" ref="EW67:EW97" si="36">IF(EV67&gt;=ER67,EV67,ER67)</f>
        <v>13.8528</v>
      </c>
      <c r="EX67" s="193">
        <f>_xlfn.XLOOKUP(K67,[2]目录表!$H:$H,[2]目录表!$AB:$AB)</f>
        <v>0.069264</v>
      </c>
      <c r="EZ67" s="194">
        <f t="shared" si="25"/>
        <v>0</v>
      </c>
      <c r="FK67" s="128" t="str">
        <f>_xlfn.XLOOKUP(K67,[2]目录表!$H:$H,[2]目录表!$AJ:$AJ)</f>
        <v>装柜</v>
      </c>
    </row>
    <row r="68" customHeight="1" spans="2:167">
      <c r="B68" s="208" t="s">
        <v>449</v>
      </c>
      <c r="C68" s="158">
        <v>3</v>
      </c>
      <c r="D68" s="158">
        <v>31</v>
      </c>
      <c r="E68" s="181" t="e">
        <f>_xlfn.XLOOKUP(K68,[3]工业配件!$AA:$AA,[3]工业配件!$L:$L)</f>
        <v>#N/A</v>
      </c>
      <c r="G68" s="128" t="s">
        <v>411</v>
      </c>
      <c r="H68" s="209" t="s">
        <v>450</v>
      </c>
      <c r="J68" s="203" t="s">
        <v>451</v>
      </c>
      <c r="K68" s="203" t="s">
        <v>452</v>
      </c>
      <c r="M68" s="189" t="s">
        <v>183</v>
      </c>
      <c r="N68" s="131">
        <f>_xlfn.XLOOKUP(L68,数据更新表!J:J,数据更新表!K:K)</f>
        <v>0</v>
      </c>
      <c r="O68" s="131" t="str">
        <f>IFERROR(_xlfn.XLOOKUP(K68,数据更新表!A:A,数据更新表!B:B),"0")</f>
        <v>0</v>
      </c>
      <c r="P68" s="131">
        <f>_xlfn.XLOOKUP(K68,[1]库销表!$F:$F,[1]库销表!$L:$L)</f>
        <v>0</v>
      </c>
      <c r="Q68" s="184" t="e">
        <f t="shared" si="28"/>
        <v>#DIV/0!</v>
      </c>
      <c r="S68" s="128" t="e">
        <f>_xlfn.XLOOKUP(K68,数据更新表!R:R,数据更新表!S:S)</f>
        <v>#N/A</v>
      </c>
      <c r="T68" s="128" t="e">
        <f>_xlfn.XLOOKUP(K68,数据更新表!V:V,数据更新表!W:W)</f>
        <v>#N/A</v>
      </c>
      <c r="V68" s="185" t="str">
        <f t="shared" si="29"/>
        <v>0</v>
      </c>
      <c r="W68" s="158">
        <f t="shared" si="30"/>
        <v>0</v>
      </c>
      <c r="X68" s="158">
        <f t="shared" ref="X68:X97" si="37">O68+P68+SUM(BN68:BR68)</f>
        <v>0</v>
      </c>
      <c r="AF68" s="128">
        <f t="shared" si="31"/>
        <v>0</v>
      </c>
      <c r="BR68" s="131"/>
      <c r="BS68" s="131">
        <f>_xlfn.XLOOKUP(K68,[1]库销表!$F:$F,[1]库销表!$L:$L)</f>
        <v>0</v>
      </c>
      <c r="BT68" s="131">
        <f t="shared" si="32"/>
        <v>0</v>
      </c>
      <c r="CW68" s="131">
        <f>_xlfn.XLOOKUP(K68,[1]库销表!$F:$F,[1]库销表!$IE:$IE)</f>
        <v>0</v>
      </c>
      <c r="CX68" s="131">
        <f>_xlfn.XLOOKUP(K68,[1]库销表!$F:$F,[1]库销表!$IF:$IF)</f>
        <v>0</v>
      </c>
      <c r="CY68" s="186">
        <f>_xlfn.XLOOKUP(K68,[1]库销表!$F:$F,[1]库销表!$FL:$FL)</f>
        <v>0</v>
      </c>
      <c r="CZ68" s="131">
        <f>_xlfn.XLOOKUP(K68,数据更新表!E:E,数据更新表!F:F,0)</f>
        <v>0</v>
      </c>
      <c r="DA68" s="131">
        <v>0</v>
      </c>
      <c r="DB68" s="131" t="e">
        <f>_xlfn.XLOOKUP(K68,数据更新表!E:E,数据更新表!G:G)</f>
        <v>#N/A</v>
      </c>
      <c r="DC68" s="187">
        <f>_xlfn.XLOOKUP(L68,数据更新表!Z:Z,数据更新表!AH:AH)</f>
        <v>0</v>
      </c>
      <c r="DD68" s="131">
        <f>_xlfn.XLOOKUP(L68,数据更新表!Z:Z,数据更新表!AE:AE)</f>
        <v>0</v>
      </c>
      <c r="DE68" s="131">
        <f>_xlfn.XLOOKUP(L68,数据更新表!Z:Z,数据更新表!AF:AF)</f>
        <v>0</v>
      </c>
      <c r="DF68" s="131" t="e">
        <f>_xlfn.XLOOKUP(K68,数据更新表!Z:Z,数据更新表!AG:AG)</f>
        <v>#N/A</v>
      </c>
      <c r="DG68" s="128">
        <f>_xlfn.XLOOKUP(L68,数据更新表!Z:Z,数据更新表!AD:AD)</f>
        <v>0</v>
      </c>
      <c r="DH68" s="128">
        <f>_xlfn.XLOOKUP(L68,数据更新表!Z:Z,数据更新表!AA:AA)</f>
        <v>0</v>
      </c>
      <c r="DI68" s="128">
        <f>_xlfn.XLOOKUP(L68,数据更新表!Z:Z,数据更新表!AB:AB)</f>
        <v>0</v>
      </c>
      <c r="DJ68" s="128">
        <f>_xlfn.XLOOKUP(L68,数据更新表!Z:Z,数据更新表!AC:AC)</f>
        <v>0</v>
      </c>
      <c r="DK68" s="133">
        <f>_xlfn.XLOOKUP(L68,数据更新表!Z:Z,数据更新表!AI:AI)</f>
        <v>0</v>
      </c>
      <c r="DL68" s="133">
        <f>_xlfn.XLOOKUP(L68,数据更新表!AL:AL,数据更新表!AM:AM)</f>
        <v>0</v>
      </c>
      <c r="DM68" s="131">
        <f>_xlfn.XLOOKUP(L68,数据更新表!Z:Z,数据更新表!AJ:AJ)</f>
        <v>0</v>
      </c>
      <c r="EE68" s="158">
        <f>_xlfn.XLOOKUP(L68,数据更新表!J:J,数据更新表!L:L)</f>
        <v>0</v>
      </c>
      <c r="EF68" s="158">
        <f>_xlfn.XLOOKUP(L68,数据更新表!J:J,数据更新表!M:M)</f>
        <v>0</v>
      </c>
      <c r="EJ68" s="190">
        <f t="shared" si="33"/>
        <v>-291.1417</v>
      </c>
      <c r="EL68" s="192">
        <f t="shared" si="27"/>
        <v>266.1417</v>
      </c>
      <c r="EO68" s="190">
        <f t="shared" si="34"/>
        <v>0</v>
      </c>
      <c r="EP68" s="182">
        <f>IF(EE68&lt;299,IF(EE68&lt;99,25,IF(EE68&lt;=149,30,IF(EE68&lt;=299,37,85))),IF(EE68&lt;=498,_xlfn.XLOOKUP(EW68,运费表!A:A,运费表!C:C,"重量超限",-1),_xlfn.XLOOKUP(EW68,运费表!A:A,运费表!D:D,"重量超限",-1)))</f>
        <v>25</v>
      </c>
      <c r="EQ68" s="182">
        <f t="shared" si="35"/>
        <v>0</v>
      </c>
      <c r="ER68" s="158">
        <f>_xlfn.XLOOKUP(K68,[4]目录表!$H:$H,[4]目录表!$X:$X)</f>
        <v>7</v>
      </c>
      <c r="ES68" s="158">
        <f>_xlfn.XLOOKUP(K68,[4]目录表!$H:$H,[4]目录表!$Y:$Y)</f>
        <v>103</v>
      </c>
      <c r="ET68" s="158">
        <f>_xlfn.XLOOKUP(K68,[4]目录表!$H:$H,[4]目录表!$Z:$Z)</f>
        <v>33</v>
      </c>
      <c r="EU68" s="158">
        <f>_xlfn.XLOOKUP(K68,[4]目录表!$H:$H,[4]目录表!$AA:$AA)</f>
        <v>12</v>
      </c>
      <c r="EV68" s="158">
        <f t="shared" si="21"/>
        <v>8.1576</v>
      </c>
      <c r="EW68" s="158">
        <f t="shared" si="36"/>
        <v>8.1576</v>
      </c>
      <c r="EX68" s="193">
        <f>_xlfn.XLOOKUP(K68,[2]目录表!$H:$H,[2]目录表!$AB:$AB)</f>
        <v>0.040788</v>
      </c>
      <c r="EZ68" s="194">
        <f t="shared" ref="EZ68:EZ97" si="38">CZ68/7</f>
        <v>0</v>
      </c>
      <c r="FK68" s="128" t="str">
        <f>_xlfn.XLOOKUP(K68,[2]目录表!$H:$H,[2]目录表!$AJ:$AJ)</f>
        <v>装柜</v>
      </c>
    </row>
    <row r="69" customHeight="1" spans="2:167">
      <c r="B69" s="208" t="s">
        <v>453</v>
      </c>
      <c r="C69" s="158">
        <v>7</v>
      </c>
      <c r="D69" s="158">
        <v>62</v>
      </c>
      <c r="E69" s="181" t="e">
        <f>_xlfn.XLOOKUP(K69,[3]工业配件!$AA:$AA,[3]工业配件!$L:$L)</f>
        <v>#N/A</v>
      </c>
      <c r="G69" s="128" t="s">
        <v>454</v>
      </c>
      <c r="H69" s="129" t="s">
        <v>455</v>
      </c>
      <c r="J69" s="203" t="s">
        <v>456</v>
      </c>
      <c r="K69" s="128" t="s">
        <v>457</v>
      </c>
      <c r="M69" s="189" t="s">
        <v>183</v>
      </c>
      <c r="N69" s="131">
        <f>_xlfn.XLOOKUP(L69,数据更新表!J:J,数据更新表!K:K)</f>
        <v>0</v>
      </c>
      <c r="O69" s="131" t="str">
        <f>IFERROR(_xlfn.XLOOKUP(K69,数据更新表!A:A,数据更新表!B:B),"0")</f>
        <v>0</v>
      </c>
      <c r="P69" s="131">
        <f>_xlfn.XLOOKUP(K69,[1]库销表!$F:$F,[1]库销表!$L:$L)</f>
        <v>0</v>
      </c>
      <c r="Q69" s="184" t="e">
        <f t="shared" si="28"/>
        <v>#DIV/0!</v>
      </c>
      <c r="S69" s="128" t="e">
        <f>_xlfn.XLOOKUP(K69,数据更新表!R:R,数据更新表!S:S)</f>
        <v>#N/A</v>
      </c>
      <c r="T69" s="128" t="e">
        <f>_xlfn.XLOOKUP(K69,数据更新表!V:V,数据更新表!W:W)</f>
        <v>#N/A</v>
      </c>
      <c r="V69" s="185" t="str">
        <f t="shared" si="29"/>
        <v>0</v>
      </c>
      <c r="W69" s="158">
        <f t="shared" si="30"/>
        <v>0</v>
      </c>
      <c r="X69" s="158">
        <f t="shared" si="37"/>
        <v>0</v>
      </c>
      <c r="AF69" s="128">
        <f t="shared" si="31"/>
        <v>0</v>
      </c>
      <c r="BR69" s="131"/>
      <c r="BS69" s="131">
        <f>_xlfn.XLOOKUP(K69,[1]库销表!$F:$F,[1]库销表!$L:$L)</f>
        <v>0</v>
      </c>
      <c r="BT69" s="131">
        <f t="shared" si="32"/>
        <v>0</v>
      </c>
      <c r="CW69" s="131">
        <f>_xlfn.XLOOKUP(K69,[1]库销表!$F:$F,[1]库销表!$IE:$IE)</f>
        <v>0</v>
      </c>
      <c r="CX69" s="131">
        <f>_xlfn.XLOOKUP(K69,[1]库销表!$F:$F,[1]库销表!$IF:$IF)</f>
        <v>0</v>
      </c>
      <c r="CY69" s="186">
        <f>_xlfn.XLOOKUP(K69,[1]库销表!$F:$F,[1]库销表!$FL:$FL)</f>
        <v>0</v>
      </c>
      <c r="CZ69" s="131">
        <f>_xlfn.XLOOKUP(K69,数据更新表!E:E,数据更新表!F:F,0)</f>
        <v>0</v>
      </c>
      <c r="DA69" s="131">
        <v>0</v>
      </c>
      <c r="DB69" s="131" t="e">
        <f>_xlfn.XLOOKUP(K69,数据更新表!E:E,数据更新表!G:G)</f>
        <v>#N/A</v>
      </c>
      <c r="DC69" s="187">
        <f>_xlfn.XLOOKUP(L69,数据更新表!Z:Z,数据更新表!AH:AH)</f>
        <v>0</v>
      </c>
      <c r="DD69" s="131">
        <f>_xlfn.XLOOKUP(L69,数据更新表!Z:Z,数据更新表!AE:AE)</f>
        <v>0</v>
      </c>
      <c r="DE69" s="131">
        <f>_xlfn.XLOOKUP(L69,数据更新表!Z:Z,数据更新表!AF:AF)</f>
        <v>0</v>
      </c>
      <c r="DF69" s="131" t="e">
        <f>_xlfn.XLOOKUP(K69,数据更新表!Z:Z,数据更新表!AG:AG)</f>
        <v>#N/A</v>
      </c>
      <c r="DG69" s="128">
        <f>_xlfn.XLOOKUP(L69,数据更新表!Z:Z,数据更新表!AD:AD)</f>
        <v>0</v>
      </c>
      <c r="DH69" s="128">
        <f>_xlfn.XLOOKUP(L69,数据更新表!Z:Z,数据更新表!AA:AA)</f>
        <v>0</v>
      </c>
      <c r="DI69" s="128">
        <f>_xlfn.XLOOKUP(L69,数据更新表!Z:Z,数据更新表!AB:AB)</f>
        <v>0</v>
      </c>
      <c r="DJ69" s="128">
        <f>_xlfn.XLOOKUP(L69,数据更新表!Z:Z,数据更新表!AC:AC)</f>
        <v>0</v>
      </c>
      <c r="DK69" s="133">
        <f>_xlfn.XLOOKUP(L69,数据更新表!Z:Z,数据更新表!AI:AI)</f>
        <v>0</v>
      </c>
      <c r="DL69" s="133">
        <f>_xlfn.XLOOKUP(L69,数据更新表!AL:AL,数据更新表!AM:AM)</f>
        <v>0</v>
      </c>
      <c r="DM69" s="131">
        <f>_xlfn.XLOOKUP(L69,数据更新表!Z:Z,数据更新表!AJ:AJ)</f>
        <v>0</v>
      </c>
      <c r="EE69" s="128">
        <v>2600</v>
      </c>
      <c r="EF69" s="128"/>
      <c r="EG69" s="158">
        <v>223.2</v>
      </c>
      <c r="EH69" s="191">
        <f t="shared" ref="EH69:EH97" si="39">EJ69/(EI69+EL69)</f>
        <v>0.635164329979713</v>
      </c>
      <c r="EI69" s="158">
        <f t="shared" ref="EI69:EI97" si="40">EG69*$EI$1</f>
        <v>582.552</v>
      </c>
      <c r="EJ69" s="190">
        <f t="shared" si="33"/>
        <v>590.2356</v>
      </c>
      <c r="EK69" s="191">
        <f t="shared" ref="EK69:EK97" si="41">EJ69/EE69</f>
        <v>0.227013692307692</v>
      </c>
      <c r="EL69" s="192">
        <f t="shared" si="27"/>
        <v>346.7124</v>
      </c>
      <c r="EM69" s="158" t="str">
        <f t="shared" ref="EM69:EM97" si="42">IF(EE69&gt;299,"是","否")</f>
        <v>是</v>
      </c>
      <c r="EN69" s="158">
        <f t="shared" ref="EN69:EN97" si="43">EE69*0.05</f>
        <v>130</v>
      </c>
      <c r="EO69" s="190">
        <f t="shared" si="34"/>
        <v>455</v>
      </c>
      <c r="EP69" s="182">
        <f>IF(EE69&lt;299,IF(EE69&lt;99,25,IF(EE69&lt;=149,30,IF(EE69&lt;=299,37,85))),IF(EE69&lt;=498,_xlfn.XLOOKUP(EW69,运费表!A:A,运费表!C:C,"重量超限",-1),_xlfn.XLOOKUP(EW69,运费表!A:A,运费表!D:D,"重量超限",-1)))</f>
        <v>222.5</v>
      </c>
      <c r="EQ69" s="182">
        <f t="shared" si="35"/>
        <v>273</v>
      </c>
      <c r="ER69" s="158">
        <f>_xlfn.XLOOKUP(K69,[4]目录表!$H:$H,[4]目录表!$X:$X)</f>
        <v>16.5</v>
      </c>
      <c r="ES69" s="158">
        <f>_xlfn.XLOOKUP(K69,[4]目录表!$H:$H,[4]目录表!$Y:$Y)</f>
        <v>41</v>
      </c>
      <c r="ET69" s="158">
        <f>_xlfn.XLOOKUP(K69,[4]目录表!$H:$H,[4]目录表!$Z:$Z)</f>
        <v>36</v>
      </c>
      <c r="EU69" s="158">
        <f>_xlfn.XLOOKUP(K69,[4]目录表!$H:$H,[4]目录表!$AA:$AA)</f>
        <v>36</v>
      </c>
      <c r="EV69" s="158">
        <f t="shared" si="21"/>
        <v>10.6272</v>
      </c>
      <c r="EW69" s="158">
        <f t="shared" si="36"/>
        <v>16.5</v>
      </c>
      <c r="EX69" s="193">
        <f>_xlfn.XLOOKUP(K69,[2]目录表!$H:$H,[2]目录表!$AB:$AB)</f>
        <v>0.053136</v>
      </c>
      <c r="EZ69" s="194">
        <f t="shared" si="38"/>
        <v>0</v>
      </c>
      <c r="FK69" s="128" t="str">
        <f>_xlfn.XLOOKUP(K69,[2]目录表!$H:$H,[2]目录表!$AJ:$AJ)</f>
        <v>装柜</v>
      </c>
    </row>
    <row r="70" customHeight="1" spans="2:167">
      <c r="B70" s="200" t="s">
        <v>458</v>
      </c>
      <c r="C70" s="158">
        <v>15</v>
      </c>
      <c r="D70" s="158">
        <v>89</v>
      </c>
      <c r="E70" s="181" t="e">
        <f>_xlfn.XLOOKUP(K70,[3]工业配件!$AA:$AA,[3]工业配件!$L:$L)</f>
        <v>#N/A</v>
      </c>
      <c r="G70" s="128" t="s">
        <v>459</v>
      </c>
      <c r="H70" s="129" t="s">
        <v>460</v>
      </c>
      <c r="J70" s="203" t="s">
        <v>461</v>
      </c>
      <c r="K70" s="128" t="s">
        <v>462</v>
      </c>
      <c r="M70" s="189" t="s">
        <v>183</v>
      </c>
      <c r="N70" s="131">
        <f>_xlfn.XLOOKUP(L70,数据更新表!J:J,数据更新表!K:K)</f>
        <v>0</v>
      </c>
      <c r="O70" s="131" t="str">
        <f>IFERROR(_xlfn.XLOOKUP(K70,数据更新表!A:A,数据更新表!B:B),"0")</f>
        <v>0</v>
      </c>
      <c r="P70" s="131">
        <f>_xlfn.XLOOKUP(K70,[1]库销表!$F:$F,[1]库销表!$L:$L)</f>
        <v>0</v>
      </c>
      <c r="Q70" s="184" t="e">
        <f t="shared" si="28"/>
        <v>#DIV/0!</v>
      </c>
      <c r="S70" s="128" t="e">
        <f>_xlfn.XLOOKUP(K70,数据更新表!R:R,数据更新表!S:S)</f>
        <v>#N/A</v>
      </c>
      <c r="T70" s="128" t="e">
        <f>_xlfn.XLOOKUP(K70,数据更新表!V:V,数据更新表!W:W)</f>
        <v>#N/A</v>
      </c>
      <c r="V70" s="185" t="str">
        <f t="shared" si="29"/>
        <v>0</v>
      </c>
      <c r="W70" s="158">
        <f t="shared" si="30"/>
        <v>0</v>
      </c>
      <c r="X70" s="158">
        <f t="shared" si="37"/>
        <v>0</v>
      </c>
      <c r="AF70" s="128">
        <f t="shared" si="31"/>
        <v>0</v>
      </c>
      <c r="BR70" s="131"/>
      <c r="BS70" s="131">
        <f>_xlfn.XLOOKUP(K70,[1]库销表!$F:$F,[1]库销表!$L:$L)</f>
        <v>0</v>
      </c>
      <c r="BT70" s="131">
        <f t="shared" si="32"/>
        <v>0</v>
      </c>
      <c r="CW70" s="131">
        <f>_xlfn.XLOOKUP(K70,[1]库销表!$F:$F,[1]库销表!$IE:$IE)</f>
        <v>0</v>
      </c>
      <c r="CX70" s="131">
        <f>_xlfn.XLOOKUP(K70,[1]库销表!$F:$F,[1]库销表!$IF:$IF)</f>
        <v>0</v>
      </c>
      <c r="CY70" s="186">
        <f>_xlfn.XLOOKUP(K70,[1]库销表!$F:$F,[1]库销表!$FL:$FL)</f>
        <v>0</v>
      </c>
      <c r="CZ70" s="131">
        <f>_xlfn.XLOOKUP(K70,数据更新表!E:E,数据更新表!F:F,0)</f>
        <v>0</v>
      </c>
      <c r="DA70" s="131">
        <v>0</v>
      </c>
      <c r="DB70" s="131" t="e">
        <f>_xlfn.XLOOKUP(K70,数据更新表!E:E,数据更新表!G:G)</f>
        <v>#N/A</v>
      </c>
      <c r="DC70" s="187">
        <f>_xlfn.XLOOKUP(L70,数据更新表!Z:Z,数据更新表!AH:AH)</f>
        <v>0</v>
      </c>
      <c r="DD70" s="131">
        <f>_xlfn.XLOOKUP(L70,数据更新表!Z:Z,数据更新表!AE:AE)</f>
        <v>0</v>
      </c>
      <c r="DE70" s="131">
        <f>_xlfn.XLOOKUP(L70,数据更新表!Z:Z,数据更新表!AF:AF)</f>
        <v>0</v>
      </c>
      <c r="DF70" s="131" t="e">
        <f>_xlfn.XLOOKUP(K70,数据更新表!Z:Z,数据更新表!AG:AG)</f>
        <v>#N/A</v>
      </c>
      <c r="DG70" s="128">
        <f>_xlfn.XLOOKUP(L70,数据更新表!Z:Z,数据更新表!AD:AD)</f>
        <v>0</v>
      </c>
      <c r="DH70" s="128">
        <f>_xlfn.XLOOKUP(L70,数据更新表!Z:Z,数据更新表!AA:AA)</f>
        <v>0</v>
      </c>
      <c r="DI70" s="128">
        <f>_xlfn.XLOOKUP(L70,数据更新表!Z:Z,数据更新表!AB:AB)</f>
        <v>0</v>
      </c>
      <c r="DJ70" s="128">
        <f>_xlfn.XLOOKUP(L70,数据更新表!Z:Z,数据更新表!AC:AC)</f>
        <v>0</v>
      </c>
      <c r="DK70" s="133">
        <f>_xlfn.XLOOKUP(L70,数据更新表!Z:Z,数据更新表!AI:AI)</f>
        <v>0</v>
      </c>
      <c r="DL70" s="133">
        <f>_xlfn.XLOOKUP(L70,数据更新表!AL:AL,数据更新表!AM:AM)</f>
        <v>0</v>
      </c>
      <c r="DM70" s="131">
        <f>_xlfn.XLOOKUP(L70,数据更新表!Z:Z,数据更新表!AJ:AJ)</f>
        <v>0</v>
      </c>
      <c r="EE70" s="128">
        <v>550</v>
      </c>
      <c r="EF70" s="128"/>
      <c r="EG70" s="158">
        <v>33</v>
      </c>
      <c r="EH70" s="191">
        <f t="shared" si="39"/>
        <v>0.686070346430432</v>
      </c>
      <c r="EI70" s="158">
        <f t="shared" si="40"/>
        <v>86.13</v>
      </c>
      <c r="EJ70" s="190">
        <f t="shared" si="33"/>
        <v>111.2885</v>
      </c>
      <c r="EK70" s="191">
        <f t="shared" si="41"/>
        <v>0.202342727272727</v>
      </c>
      <c r="EL70" s="192">
        <f t="shared" si="27"/>
        <v>76.0815</v>
      </c>
      <c r="EM70" s="158" t="str">
        <f t="shared" si="42"/>
        <v>是</v>
      </c>
      <c r="EN70" s="158">
        <f t="shared" si="43"/>
        <v>27.5</v>
      </c>
      <c r="EO70" s="190">
        <f t="shared" si="34"/>
        <v>96.25</v>
      </c>
      <c r="EP70" s="182">
        <f>IF(EE70&lt;299,IF(EE70&lt;99,25,IF(EE70&lt;=149,30,IF(EE70&lt;=299,37,85))),IF(EE70&lt;=498,_xlfn.XLOOKUP(EW70,运费表!A:A,运费表!C:C,"重量超限",-1),_xlfn.XLOOKUP(EW70,运费表!A:A,运费表!D:D,"重量超限",-1)))</f>
        <v>95</v>
      </c>
      <c r="EQ70" s="182">
        <f t="shared" si="35"/>
        <v>57.75</v>
      </c>
      <c r="ER70" s="158">
        <f>_xlfn.XLOOKUP(K70,[4]目录表!$H:$H,[4]目录表!$X:$X)</f>
        <v>2.2</v>
      </c>
      <c r="ES70" s="158">
        <f>_xlfn.XLOOKUP(K70,[4]目录表!$H:$H,[4]目录表!$Y:$Y)</f>
        <v>106</v>
      </c>
      <c r="ET70" s="158">
        <f>_xlfn.XLOOKUP(K70,[4]目录表!$H:$H,[4]目录表!$Z:$Z)</f>
        <v>10</v>
      </c>
      <c r="EU70" s="158">
        <f>_xlfn.XLOOKUP(K70,[4]目录表!$H:$H,[4]目录表!$AA:$AA)</f>
        <v>11</v>
      </c>
      <c r="EV70" s="158">
        <f t="shared" si="21"/>
        <v>2.332</v>
      </c>
      <c r="EW70" s="158">
        <f t="shared" si="36"/>
        <v>2.332</v>
      </c>
      <c r="EX70" s="193">
        <f>_xlfn.XLOOKUP(K70,[2]目录表!$H:$H,[2]目录表!$AB:$AB)</f>
        <v>0.01166</v>
      </c>
      <c r="EZ70" s="194">
        <f t="shared" si="38"/>
        <v>0</v>
      </c>
      <c r="FK70" s="128" t="str">
        <f>_xlfn.XLOOKUP(K70,[2]目录表!$H:$H,[2]目录表!$AJ:$AJ)</f>
        <v>装柜</v>
      </c>
    </row>
    <row r="71" customHeight="1" spans="2:167">
      <c r="B71" s="200" t="s">
        <v>463</v>
      </c>
      <c r="C71" s="158">
        <v>37</v>
      </c>
      <c r="D71" s="158">
        <v>214</v>
      </c>
      <c r="E71" s="181" t="e">
        <f>_xlfn.XLOOKUP(K71,[3]工业配件!$AA:$AA,[3]工业配件!$L:$L)</f>
        <v>#N/A</v>
      </c>
      <c r="G71" s="128" t="s">
        <v>459</v>
      </c>
      <c r="H71" s="129" t="s">
        <v>464</v>
      </c>
      <c r="J71" s="203" t="s">
        <v>465</v>
      </c>
      <c r="K71" s="128" t="s">
        <v>466</v>
      </c>
      <c r="M71" s="189" t="s">
        <v>183</v>
      </c>
      <c r="N71" s="131">
        <f>_xlfn.XLOOKUP(L71,数据更新表!J:J,数据更新表!K:K)</f>
        <v>0</v>
      </c>
      <c r="O71" s="131" t="str">
        <f>IFERROR(_xlfn.XLOOKUP(K71,数据更新表!A:A,数据更新表!B:B),"0")</f>
        <v>0</v>
      </c>
      <c r="P71" s="131">
        <f>_xlfn.XLOOKUP(K71,[1]库销表!$F:$F,[1]库销表!$L:$L)</f>
        <v>0</v>
      </c>
      <c r="Q71" s="184" t="e">
        <f t="shared" si="28"/>
        <v>#DIV/0!</v>
      </c>
      <c r="S71" s="128" t="e">
        <f>_xlfn.XLOOKUP(K71,数据更新表!R:R,数据更新表!S:S)</f>
        <v>#N/A</v>
      </c>
      <c r="T71" s="128" t="e">
        <f>_xlfn.XLOOKUP(K71,数据更新表!V:V,数据更新表!W:W)</f>
        <v>#N/A</v>
      </c>
      <c r="V71" s="185" t="str">
        <f t="shared" si="29"/>
        <v>0</v>
      </c>
      <c r="W71" s="158">
        <f t="shared" si="30"/>
        <v>0</v>
      </c>
      <c r="X71" s="158">
        <f t="shared" si="37"/>
        <v>0</v>
      </c>
      <c r="AF71" s="128">
        <f t="shared" si="31"/>
        <v>0</v>
      </c>
      <c r="BR71" s="131"/>
      <c r="BS71" s="131">
        <f>_xlfn.XLOOKUP(K71,[1]库销表!$F:$F,[1]库销表!$L:$L)</f>
        <v>0</v>
      </c>
      <c r="BT71" s="131">
        <f t="shared" si="32"/>
        <v>0</v>
      </c>
      <c r="CW71" s="131">
        <f>_xlfn.XLOOKUP(K71,[1]库销表!$F:$F,[1]库销表!$IE:$IE)</f>
        <v>0</v>
      </c>
      <c r="CX71" s="131">
        <f>_xlfn.XLOOKUP(K71,[1]库销表!$F:$F,[1]库销表!$IF:$IF)</f>
        <v>0</v>
      </c>
      <c r="CY71" s="186">
        <f>_xlfn.XLOOKUP(K71,[1]库销表!$F:$F,[1]库销表!$FL:$FL)</f>
        <v>0</v>
      </c>
      <c r="CZ71" s="131">
        <f>_xlfn.XLOOKUP(K71,数据更新表!E:E,数据更新表!F:F,0)</f>
        <v>0</v>
      </c>
      <c r="DA71" s="131">
        <v>0</v>
      </c>
      <c r="DB71" s="131" t="e">
        <f>_xlfn.XLOOKUP(K71,数据更新表!E:E,数据更新表!G:G)</f>
        <v>#N/A</v>
      </c>
      <c r="DC71" s="187">
        <f>_xlfn.XLOOKUP(L71,数据更新表!Z:Z,数据更新表!AH:AH)</f>
        <v>0</v>
      </c>
      <c r="DD71" s="131">
        <f>_xlfn.XLOOKUP(L71,数据更新表!Z:Z,数据更新表!AE:AE)</f>
        <v>0</v>
      </c>
      <c r="DE71" s="131">
        <f>_xlfn.XLOOKUP(L71,数据更新表!Z:Z,数据更新表!AF:AF)</f>
        <v>0</v>
      </c>
      <c r="DF71" s="131" t="e">
        <f>_xlfn.XLOOKUP(K71,数据更新表!Z:Z,数据更新表!AG:AG)</f>
        <v>#N/A</v>
      </c>
      <c r="DG71" s="128">
        <f>_xlfn.XLOOKUP(L71,数据更新表!Z:Z,数据更新表!AD:AD)</f>
        <v>0</v>
      </c>
      <c r="DH71" s="128">
        <f>_xlfn.XLOOKUP(L71,数据更新表!Z:Z,数据更新表!AA:AA)</f>
        <v>0</v>
      </c>
      <c r="DI71" s="128">
        <f>_xlfn.XLOOKUP(L71,数据更新表!Z:Z,数据更新表!AB:AB)</f>
        <v>0</v>
      </c>
      <c r="DJ71" s="128">
        <f>_xlfn.XLOOKUP(L71,数据更新表!Z:Z,数据更新表!AC:AC)</f>
        <v>0</v>
      </c>
      <c r="DK71" s="133">
        <f>_xlfn.XLOOKUP(L71,数据更新表!Z:Z,数据更新表!AI:AI)</f>
        <v>0</v>
      </c>
      <c r="DL71" s="133">
        <f>_xlfn.XLOOKUP(L71,数据更新表!AL:AL,数据更新表!AM:AM)</f>
        <v>0</v>
      </c>
      <c r="DM71" s="131">
        <f>_xlfn.XLOOKUP(L71,数据更新表!Z:Z,数据更新表!AJ:AJ)</f>
        <v>0</v>
      </c>
      <c r="EE71" s="128">
        <v>250</v>
      </c>
      <c r="EF71" s="128"/>
      <c r="EG71" s="158">
        <v>20.5</v>
      </c>
      <c r="EH71" s="191">
        <f t="shared" si="39"/>
        <v>0.670425123193853</v>
      </c>
      <c r="EI71" s="158">
        <f t="shared" si="40"/>
        <v>53.505</v>
      </c>
      <c r="EJ71" s="190">
        <f t="shared" si="33"/>
        <v>52.376175</v>
      </c>
      <c r="EK71" s="191">
        <f t="shared" si="41"/>
        <v>0.2095047</v>
      </c>
      <c r="EL71" s="192">
        <f t="shared" si="27"/>
        <v>24.618825</v>
      </c>
      <c r="EM71" s="158" t="str">
        <f t="shared" si="42"/>
        <v>否</v>
      </c>
      <c r="EN71" s="158">
        <f t="shared" si="43"/>
        <v>12.5</v>
      </c>
      <c r="EO71" s="190">
        <f t="shared" si="34"/>
        <v>43.75</v>
      </c>
      <c r="EP71" s="182">
        <f>IF(EE71&lt;299,IF(EE71&lt;99,25,IF(EE71&lt;=149,30,IF(EE71&lt;=299,37,85))),IF(EE71&lt;=498,_xlfn.XLOOKUP(EW71,运费表!A:A,运费表!C:C,"重量超限",-1),_xlfn.XLOOKUP(EW71,运费表!A:A,运费表!D:D,"重量超限",-1)))</f>
        <v>37</v>
      </c>
      <c r="EQ71" s="182">
        <f t="shared" si="35"/>
        <v>26.25</v>
      </c>
      <c r="ER71" s="158">
        <f>_xlfn.XLOOKUP(K71,[4]目录表!$H:$H,[4]目录表!$X:$X)</f>
        <v>3</v>
      </c>
      <c r="ES71" s="158">
        <f>_xlfn.XLOOKUP(K71,[4]目录表!$H:$H,[4]目录表!$Y:$Y)</f>
        <v>77</v>
      </c>
      <c r="ET71" s="158">
        <f>_xlfn.XLOOKUP(K71,[4]目录表!$H:$H,[4]目录表!$Z:$Z)</f>
        <v>7</v>
      </c>
      <c r="EU71" s="158">
        <f>_xlfn.XLOOKUP(K71,[4]目录表!$H:$H,[4]目录表!$AA:$AA)</f>
        <v>7</v>
      </c>
      <c r="EV71" s="158">
        <f t="shared" si="21"/>
        <v>0.7546</v>
      </c>
      <c r="EW71" s="158">
        <f t="shared" si="36"/>
        <v>3</v>
      </c>
      <c r="EX71" s="193">
        <f>_xlfn.XLOOKUP(K71,[2]目录表!$H:$H,[2]目录表!$AB:$AB)</f>
        <v>0.003773</v>
      </c>
      <c r="EZ71" s="194">
        <f t="shared" si="38"/>
        <v>0</v>
      </c>
      <c r="FK71" s="128" t="str">
        <f>_xlfn.XLOOKUP(K71,[2]目录表!$H:$H,[2]目录表!$AJ:$AJ)</f>
        <v>装柜</v>
      </c>
    </row>
    <row r="72" customHeight="1" spans="2:167">
      <c r="B72" s="208" t="s">
        <v>467</v>
      </c>
      <c r="C72" s="158">
        <v>19</v>
      </c>
      <c r="D72" s="158">
        <v>51</v>
      </c>
      <c r="E72" s="181" t="e">
        <f>_xlfn.XLOOKUP(K72,[3]工业配件!$AA:$AA,[3]工业配件!$L:$L)</f>
        <v>#N/A</v>
      </c>
      <c r="G72" s="128" t="s">
        <v>468</v>
      </c>
      <c r="H72" s="129" t="s">
        <v>469</v>
      </c>
      <c r="J72" s="203" t="s">
        <v>470</v>
      </c>
      <c r="K72" s="128" t="s">
        <v>471</v>
      </c>
      <c r="M72" s="189" t="s">
        <v>183</v>
      </c>
      <c r="N72" s="131">
        <f>_xlfn.XLOOKUP(L72,数据更新表!J:J,数据更新表!K:K)</f>
        <v>0</v>
      </c>
      <c r="O72" s="131" t="str">
        <f>IFERROR(_xlfn.XLOOKUP(K72,数据更新表!A:A,数据更新表!B:B),"0")</f>
        <v>0</v>
      </c>
      <c r="P72" s="131">
        <f>_xlfn.XLOOKUP(K72,[1]库销表!$F:$F,[1]库销表!$L:$L)</f>
        <v>0</v>
      </c>
      <c r="Q72" s="184" t="e">
        <f t="shared" si="28"/>
        <v>#DIV/0!</v>
      </c>
      <c r="S72" s="128" t="e">
        <f>_xlfn.XLOOKUP(K72,数据更新表!R:R,数据更新表!S:S)</f>
        <v>#N/A</v>
      </c>
      <c r="T72" s="128" t="e">
        <f>_xlfn.XLOOKUP(K72,数据更新表!V:V,数据更新表!W:W)</f>
        <v>#N/A</v>
      </c>
      <c r="V72" s="185" t="str">
        <f t="shared" si="29"/>
        <v>0</v>
      </c>
      <c r="W72" s="158">
        <f t="shared" si="30"/>
        <v>0</v>
      </c>
      <c r="X72" s="158">
        <f t="shared" si="37"/>
        <v>0</v>
      </c>
      <c r="AF72" s="128">
        <f t="shared" si="31"/>
        <v>0</v>
      </c>
      <c r="BR72" s="131"/>
      <c r="BS72" s="131">
        <f>_xlfn.XLOOKUP(K72,[1]库销表!$F:$F,[1]库销表!$L:$L)</f>
        <v>0</v>
      </c>
      <c r="BT72" s="131">
        <f t="shared" si="32"/>
        <v>0</v>
      </c>
      <c r="CW72" s="131">
        <f>_xlfn.XLOOKUP(K72,[1]库销表!$F:$F,[1]库销表!$IE:$IE)</f>
        <v>0</v>
      </c>
      <c r="CX72" s="131">
        <f>_xlfn.XLOOKUP(K72,[1]库销表!$F:$F,[1]库销表!$IF:$IF)</f>
        <v>0</v>
      </c>
      <c r="CY72" s="186">
        <f>_xlfn.XLOOKUP(K72,[1]库销表!$F:$F,[1]库销表!$FL:$FL)</f>
        <v>0</v>
      </c>
      <c r="CZ72" s="131">
        <f>_xlfn.XLOOKUP(K72,数据更新表!E:E,数据更新表!F:F,0)</f>
        <v>0</v>
      </c>
      <c r="DA72" s="131">
        <v>0</v>
      </c>
      <c r="DB72" s="131" t="e">
        <f>_xlfn.XLOOKUP(K72,数据更新表!E:E,数据更新表!G:G)</f>
        <v>#N/A</v>
      </c>
      <c r="DC72" s="187">
        <f>_xlfn.XLOOKUP(L72,数据更新表!Z:Z,数据更新表!AH:AH)</f>
        <v>0</v>
      </c>
      <c r="DD72" s="131">
        <f>_xlfn.XLOOKUP(L72,数据更新表!Z:Z,数据更新表!AE:AE)</f>
        <v>0</v>
      </c>
      <c r="DE72" s="131">
        <f>_xlfn.XLOOKUP(L72,数据更新表!Z:Z,数据更新表!AF:AF)</f>
        <v>0</v>
      </c>
      <c r="DF72" s="131" t="e">
        <f>_xlfn.XLOOKUP(K72,数据更新表!Z:Z,数据更新表!AG:AG)</f>
        <v>#N/A</v>
      </c>
      <c r="DG72" s="128">
        <f>_xlfn.XLOOKUP(L72,数据更新表!Z:Z,数据更新表!AD:AD)</f>
        <v>0</v>
      </c>
      <c r="DH72" s="128">
        <f>_xlfn.XLOOKUP(L72,数据更新表!Z:Z,数据更新表!AA:AA)</f>
        <v>0</v>
      </c>
      <c r="DI72" s="128">
        <f>_xlfn.XLOOKUP(L72,数据更新表!Z:Z,数据更新表!AB:AB)</f>
        <v>0</v>
      </c>
      <c r="DJ72" s="128">
        <f>_xlfn.XLOOKUP(L72,数据更新表!Z:Z,数据更新表!AC:AC)</f>
        <v>0</v>
      </c>
      <c r="DK72" s="133">
        <f>_xlfn.XLOOKUP(L72,数据更新表!Z:Z,数据更新表!AI:AI)</f>
        <v>0</v>
      </c>
      <c r="DL72" s="133">
        <f>_xlfn.XLOOKUP(L72,数据更新表!AL:AL,数据更新表!AM:AM)</f>
        <v>0</v>
      </c>
      <c r="DM72" s="131">
        <f>_xlfn.XLOOKUP(L72,数据更新表!Z:Z,数据更新表!AJ:AJ)</f>
        <v>0</v>
      </c>
      <c r="EE72" s="128">
        <v>1200</v>
      </c>
      <c r="EF72" s="128"/>
      <c r="EG72" s="158">
        <v>71</v>
      </c>
      <c r="EH72" s="191">
        <f t="shared" si="39"/>
        <v>0.510069401835263</v>
      </c>
      <c r="EI72" s="158">
        <f t="shared" si="40"/>
        <v>185.31</v>
      </c>
      <c r="EJ72" s="190">
        <f t="shared" si="33"/>
        <v>224.454</v>
      </c>
      <c r="EK72" s="191">
        <f t="shared" si="41"/>
        <v>0.187045</v>
      </c>
      <c r="EL72" s="192">
        <f t="shared" si="27"/>
        <v>254.736</v>
      </c>
      <c r="EM72" s="158" t="str">
        <f t="shared" si="42"/>
        <v>是</v>
      </c>
      <c r="EN72" s="158">
        <f t="shared" si="43"/>
        <v>60</v>
      </c>
      <c r="EO72" s="190">
        <f t="shared" si="34"/>
        <v>210</v>
      </c>
      <c r="EP72" s="182">
        <f>IF(EE72&lt;299,IF(EE72&lt;99,25,IF(EE72&lt;=149,30,IF(EE72&lt;=299,37,85))),IF(EE72&lt;=498,_xlfn.XLOOKUP(EW72,运费表!A:A,运费表!C:C,"重量超限",-1),_xlfn.XLOOKUP(EW72,运费表!A:A,运费表!D:D,"重量超限",-1)))</f>
        <v>139.5</v>
      </c>
      <c r="EQ72" s="182">
        <f t="shared" si="35"/>
        <v>126</v>
      </c>
      <c r="ER72" s="158">
        <f>_xlfn.XLOOKUP(K72,[4]目录表!$H:$H,[4]目录表!$X:$X)</f>
        <v>4</v>
      </c>
      <c r="ES72" s="158">
        <f>_xlfn.XLOOKUP(K72,[4]目录表!$H:$H,[4]目录表!$Y:$Y)</f>
        <v>40</v>
      </c>
      <c r="ET72" s="158">
        <f>_xlfn.XLOOKUP(K72,[4]目录表!$H:$H,[4]目录表!$Z:$Z)</f>
        <v>122</v>
      </c>
      <c r="EU72" s="158">
        <f>_xlfn.XLOOKUP(K72,[4]目录表!$H:$H,[4]目录表!$AA:$AA)</f>
        <v>8</v>
      </c>
      <c r="EV72" s="158">
        <f t="shared" si="21"/>
        <v>7.808</v>
      </c>
      <c r="EW72" s="158">
        <f t="shared" si="36"/>
        <v>7.808</v>
      </c>
      <c r="EX72" s="193">
        <f>_xlfn.XLOOKUP(K72,[2]目录表!$H:$H,[2]目录表!$AB:$AB)</f>
        <v>0.03904</v>
      </c>
      <c r="EZ72" s="194">
        <f t="shared" si="38"/>
        <v>0</v>
      </c>
      <c r="FK72" s="128" t="str">
        <f>_xlfn.XLOOKUP(K72,[2]目录表!$H:$H,[2]目录表!$AJ:$AJ)</f>
        <v>装柜</v>
      </c>
    </row>
    <row r="73" customHeight="1" spans="2:167">
      <c r="B73" s="208" t="s">
        <v>472</v>
      </c>
      <c r="C73" s="158">
        <v>10</v>
      </c>
      <c r="D73" s="158">
        <v>39</v>
      </c>
      <c r="E73" s="181" t="e">
        <f>_xlfn.XLOOKUP(K73,[3]工业配件!$AA:$AA,[3]工业配件!$L:$L)</f>
        <v>#N/A</v>
      </c>
      <c r="G73" s="128" t="s">
        <v>473</v>
      </c>
      <c r="H73" s="129" t="s">
        <v>474</v>
      </c>
      <c r="J73" s="203" t="s">
        <v>475</v>
      </c>
      <c r="K73" s="128" t="s">
        <v>476</v>
      </c>
      <c r="M73" s="189" t="s">
        <v>183</v>
      </c>
      <c r="N73" s="131">
        <f>_xlfn.XLOOKUP(L73,数据更新表!J:J,数据更新表!K:K)</f>
        <v>0</v>
      </c>
      <c r="O73" s="131" t="str">
        <f>IFERROR(_xlfn.XLOOKUP(K73,数据更新表!A:A,数据更新表!B:B),"0")</f>
        <v>0</v>
      </c>
      <c r="P73" s="131">
        <f>_xlfn.XLOOKUP(K73,[1]库销表!$F:$F,[1]库销表!$L:$L)</f>
        <v>0</v>
      </c>
      <c r="Q73" s="184" t="e">
        <f t="shared" si="28"/>
        <v>#DIV/0!</v>
      </c>
      <c r="S73" s="128" t="e">
        <f>_xlfn.XLOOKUP(K73,数据更新表!R:R,数据更新表!S:S)</f>
        <v>#N/A</v>
      </c>
      <c r="T73" s="128" t="e">
        <f>_xlfn.XLOOKUP(K73,数据更新表!V:V,数据更新表!W:W)</f>
        <v>#N/A</v>
      </c>
      <c r="V73" s="185" t="str">
        <f t="shared" si="29"/>
        <v>0</v>
      </c>
      <c r="W73" s="158">
        <f t="shared" si="30"/>
        <v>0</v>
      </c>
      <c r="X73" s="158">
        <f t="shared" si="37"/>
        <v>0</v>
      </c>
      <c r="AF73" s="128">
        <f t="shared" si="31"/>
        <v>0</v>
      </c>
      <c r="BR73" s="131"/>
      <c r="BS73" s="131">
        <f>_xlfn.XLOOKUP(K73,[1]库销表!$F:$F,[1]库销表!$L:$L)</f>
        <v>0</v>
      </c>
      <c r="BT73" s="131">
        <f t="shared" si="32"/>
        <v>0</v>
      </c>
      <c r="CW73" s="131">
        <f>_xlfn.XLOOKUP(K73,[1]库销表!$F:$F,[1]库销表!$IE:$IE)</f>
        <v>0</v>
      </c>
      <c r="CX73" s="131">
        <f>_xlfn.XLOOKUP(K73,[1]库销表!$F:$F,[1]库销表!$IF:$IF)</f>
        <v>0</v>
      </c>
      <c r="CY73" s="186">
        <f>_xlfn.XLOOKUP(K73,[1]库销表!$F:$F,[1]库销表!$FL:$FL)</f>
        <v>0</v>
      </c>
      <c r="CZ73" s="131">
        <f>_xlfn.XLOOKUP(K73,数据更新表!E:E,数据更新表!F:F,0)</f>
        <v>0</v>
      </c>
      <c r="DA73" s="131">
        <v>0</v>
      </c>
      <c r="DB73" s="131" t="e">
        <f>_xlfn.XLOOKUP(K73,数据更新表!E:E,数据更新表!G:G)</f>
        <v>#N/A</v>
      </c>
      <c r="DC73" s="187">
        <f>_xlfn.XLOOKUP(L73,数据更新表!Z:Z,数据更新表!AH:AH)</f>
        <v>0</v>
      </c>
      <c r="DD73" s="131">
        <f>_xlfn.XLOOKUP(L73,数据更新表!Z:Z,数据更新表!AE:AE)</f>
        <v>0</v>
      </c>
      <c r="DE73" s="131">
        <f>_xlfn.XLOOKUP(L73,数据更新表!Z:Z,数据更新表!AF:AF)</f>
        <v>0</v>
      </c>
      <c r="DF73" s="131" t="e">
        <f>_xlfn.XLOOKUP(K73,数据更新表!Z:Z,数据更新表!AG:AG)</f>
        <v>#N/A</v>
      </c>
      <c r="DG73" s="128">
        <f>_xlfn.XLOOKUP(L73,数据更新表!Z:Z,数据更新表!AD:AD)</f>
        <v>0</v>
      </c>
      <c r="DH73" s="128">
        <f>_xlfn.XLOOKUP(L73,数据更新表!Z:Z,数据更新表!AA:AA)</f>
        <v>0</v>
      </c>
      <c r="DI73" s="128">
        <f>_xlfn.XLOOKUP(L73,数据更新表!Z:Z,数据更新表!AB:AB)</f>
        <v>0</v>
      </c>
      <c r="DJ73" s="128">
        <f>_xlfn.XLOOKUP(L73,数据更新表!Z:Z,数据更新表!AC:AC)</f>
        <v>0</v>
      </c>
      <c r="DK73" s="133">
        <f>_xlfn.XLOOKUP(L73,数据更新表!Z:Z,数据更新表!AI:AI)</f>
        <v>0</v>
      </c>
      <c r="DL73" s="133">
        <f>_xlfn.XLOOKUP(L73,数据更新表!AL:AL,数据更新表!AM:AM)</f>
        <v>0</v>
      </c>
      <c r="DM73" s="131">
        <f>_xlfn.XLOOKUP(L73,数据更新表!Z:Z,数据更新表!AJ:AJ)</f>
        <v>0</v>
      </c>
      <c r="EE73" s="128">
        <v>131</v>
      </c>
      <c r="EF73" s="128"/>
      <c r="EG73" s="158">
        <v>3.8</v>
      </c>
      <c r="EH73" s="191">
        <f t="shared" si="39"/>
        <v>3.56373187976458</v>
      </c>
      <c r="EI73" s="158">
        <f t="shared" si="40"/>
        <v>9.918</v>
      </c>
      <c r="EJ73" s="190">
        <f t="shared" si="33"/>
        <v>45.1115</v>
      </c>
      <c r="EK73" s="191">
        <f t="shared" si="41"/>
        <v>0.344362595419847</v>
      </c>
      <c r="EL73" s="192">
        <f t="shared" ref="EL73:EL97" si="44">EX73*3000*$EI$1</f>
        <v>2.7405</v>
      </c>
      <c r="EM73" s="158" t="str">
        <f t="shared" si="42"/>
        <v>否</v>
      </c>
      <c r="EN73" s="158">
        <f t="shared" si="43"/>
        <v>6.55</v>
      </c>
      <c r="EO73" s="190">
        <f t="shared" si="34"/>
        <v>22.925</v>
      </c>
      <c r="EP73" s="182">
        <f>IF(EE73&lt;299,IF(EE73&lt;99,25,IF(EE73&lt;=149,30,IF(EE73&lt;=299,37,85))),IF(EE73&lt;=498,_xlfn.XLOOKUP(EW73,运费表!A:A,运费表!C:C,"重量超限",-1),_xlfn.XLOOKUP(EW73,运费表!A:A,运费表!D:D,"重量超限",-1)))</f>
        <v>30</v>
      </c>
      <c r="EQ73" s="182">
        <f t="shared" si="35"/>
        <v>13.755</v>
      </c>
      <c r="ER73" s="158">
        <f>_xlfn.XLOOKUP(K73,[4]目录表!$H:$H,[4]目录表!$X:$X)</f>
        <v>0.1</v>
      </c>
      <c r="ES73" s="158">
        <f>_xlfn.XLOOKUP(K73,[4]目录表!$H:$H,[4]目录表!$Y:$Y)</f>
        <v>14</v>
      </c>
      <c r="ET73" s="158">
        <f>_xlfn.XLOOKUP(K73,[4]目录表!$H:$H,[4]目录表!$Z:$Z)</f>
        <v>5</v>
      </c>
      <c r="EU73" s="158">
        <f>_xlfn.XLOOKUP(K73,[4]目录表!$H:$H,[4]目录表!$AA:$AA)</f>
        <v>5</v>
      </c>
      <c r="EV73" s="158">
        <f t="shared" si="21"/>
        <v>0.07</v>
      </c>
      <c r="EW73" s="158">
        <f t="shared" si="36"/>
        <v>0.1</v>
      </c>
      <c r="EX73" s="193">
        <f>_xlfn.XLOOKUP(K73,[2]目录表!$H:$H,[2]目录表!$AB:$AB)</f>
        <v>0.00035</v>
      </c>
      <c r="EZ73" s="194">
        <f t="shared" si="38"/>
        <v>0</v>
      </c>
      <c r="FK73" s="128" t="str">
        <f>_xlfn.XLOOKUP(K73,[2]目录表!$H:$H,[2]目录表!$AJ:$AJ)</f>
        <v>散货</v>
      </c>
    </row>
    <row r="74" customHeight="1" spans="2:167">
      <c r="B74" s="208" t="s">
        <v>477</v>
      </c>
      <c r="C74" s="158">
        <v>40</v>
      </c>
      <c r="D74" s="158">
        <v>144</v>
      </c>
      <c r="E74" s="181" t="e">
        <f>_xlfn.XLOOKUP(K74,[3]工业配件!$AA:$AA,[3]工业配件!$L:$L)</f>
        <v>#N/A</v>
      </c>
      <c r="G74" s="128" t="s">
        <v>478</v>
      </c>
      <c r="H74" s="129" t="s">
        <v>479</v>
      </c>
      <c r="J74" s="203" t="s">
        <v>480</v>
      </c>
      <c r="K74" s="128" t="s">
        <v>481</v>
      </c>
      <c r="M74" s="189" t="s">
        <v>183</v>
      </c>
      <c r="N74" s="131">
        <f>_xlfn.XLOOKUP(L74,数据更新表!J:J,数据更新表!K:K)</f>
        <v>0</v>
      </c>
      <c r="O74" s="131" t="str">
        <f>IFERROR(_xlfn.XLOOKUP(K74,数据更新表!A:A,数据更新表!B:B),"0")</f>
        <v>0</v>
      </c>
      <c r="P74" s="131">
        <f>_xlfn.XLOOKUP(K74,[1]库销表!$F:$F,[1]库销表!$L:$L)</f>
        <v>0</v>
      </c>
      <c r="Q74" s="184" t="e">
        <f t="shared" si="28"/>
        <v>#DIV/0!</v>
      </c>
      <c r="S74" s="128" t="e">
        <f>_xlfn.XLOOKUP(K74,数据更新表!R:R,数据更新表!S:S)</f>
        <v>#N/A</v>
      </c>
      <c r="T74" s="128" t="e">
        <f>_xlfn.XLOOKUP(K74,数据更新表!V:V,数据更新表!W:W)</f>
        <v>#N/A</v>
      </c>
      <c r="V74" s="185" t="str">
        <f t="shared" si="29"/>
        <v>0</v>
      </c>
      <c r="W74" s="158">
        <f t="shared" si="30"/>
        <v>0</v>
      </c>
      <c r="X74" s="158">
        <f t="shared" si="37"/>
        <v>0</v>
      </c>
      <c r="AF74" s="128">
        <f t="shared" si="31"/>
        <v>0</v>
      </c>
      <c r="BR74" s="131"/>
      <c r="BS74" s="131">
        <f>_xlfn.XLOOKUP(K74,[1]库销表!$F:$F,[1]库销表!$L:$L)</f>
        <v>0</v>
      </c>
      <c r="BT74" s="131">
        <f t="shared" si="32"/>
        <v>0</v>
      </c>
      <c r="CW74" s="131">
        <f>_xlfn.XLOOKUP(K74,[1]库销表!$F:$F,[1]库销表!$IE:$IE)</f>
        <v>0</v>
      </c>
      <c r="CX74" s="131">
        <f>_xlfn.XLOOKUP(K74,[1]库销表!$F:$F,[1]库销表!$IF:$IF)</f>
        <v>0</v>
      </c>
      <c r="CY74" s="186">
        <f>_xlfn.XLOOKUP(K74,[1]库销表!$F:$F,[1]库销表!$FL:$FL)</f>
        <v>0</v>
      </c>
      <c r="CZ74" s="131">
        <f>_xlfn.XLOOKUP(K74,数据更新表!E:E,数据更新表!F:F,0)</f>
        <v>0</v>
      </c>
      <c r="DA74" s="131">
        <v>0</v>
      </c>
      <c r="DB74" s="131" t="e">
        <f>_xlfn.XLOOKUP(K74,数据更新表!E:E,数据更新表!G:G)</f>
        <v>#N/A</v>
      </c>
      <c r="DC74" s="187">
        <f>_xlfn.XLOOKUP(L74,数据更新表!Z:Z,数据更新表!AH:AH)</f>
        <v>0</v>
      </c>
      <c r="DD74" s="131">
        <f>_xlfn.XLOOKUP(L74,数据更新表!Z:Z,数据更新表!AE:AE)</f>
        <v>0</v>
      </c>
      <c r="DE74" s="131">
        <f>_xlfn.XLOOKUP(L74,数据更新表!Z:Z,数据更新表!AF:AF)</f>
        <v>0</v>
      </c>
      <c r="DF74" s="131" t="e">
        <f>_xlfn.XLOOKUP(K74,数据更新表!Z:Z,数据更新表!AG:AG)</f>
        <v>#N/A</v>
      </c>
      <c r="DG74" s="128">
        <f>_xlfn.XLOOKUP(L74,数据更新表!Z:Z,数据更新表!AD:AD)</f>
        <v>0</v>
      </c>
      <c r="DH74" s="128">
        <f>_xlfn.XLOOKUP(L74,数据更新表!Z:Z,数据更新表!AA:AA)</f>
        <v>0</v>
      </c>
      <c r="DI74" s="128">
        <f>_xlfn.XLOOKUP(L74,数据更新表!Z:Z,数据更新表!AB:AB)</f>
        <v>0</v>
      </c>
      <c r="DJ74" s="128">
        <f>_xlfn.XLOOKUP(L74,数据更新表!Z:Z,数据更新表!AC:AC)</f>
        <v>0</v>
      </c>
      <c r="DK74" s="133">
        <f>_xlfn.XLOOKUP(L74,数据更新表!Z:Z,数据更新表!AI:AI)</f>
        <v>0</v>
      </c>
      <c r="DL74" s="133">
        <f>_xlfn.XLOOKUP(L74,数据更新表!AL:AL,数据更新表!AM:AM)</f>
        <v>0</v>
      </c>
      <c r="DM74" s="131">
        <f>_xlfn.XLOOKUP(L74,数据更新表!Z:Z,数据更新表!AJ:AJ)</f>
        <v>0</v>
      </c>
      <c r="EE74" s="128">
        <v>194</v>
      </c>
      <c r="EF74" s="128"/>
      <c r="EG74" s="158">
        <v>2.8</v>
      </c>
      <c r="EH74" s="191">
        <f t="shared" si="39"/>
        <v>10.209729727123</v>
      </c>
      <c r="EI74" s="158">
        <f t="shared" si="40"/>
        <v>7.308</v>
      </c>
      <c r="EJ74" s="190">
        <f t="shared" si="33"/>
        <v>84.68542</v>
      </c>
      <c r="EK74" s="191">
        <f t="shared" si="41"/>
        <v>0.436522783505155</v>
      </c>
      <c r="EL74" s="192">
        <f t="shared" si="44"/>
        <v>0.98658</v>
      </c>
      <c r="EM74" s="158" t="str">
        <f t="shared" si="42"/>
        <v>否</v>
      </c>
      <c r="EN74" s="158">
        <f t="shared" si="43"/>
        <v>9.7</v>
      </c>
      <c r="EO74" s="190">
        <f t="shared" si="34"/>
        <v>33.95</v>
      </c>
      <c r="EP74" s="182">
        <f>IF(EE74&lt;299,IF(EE74&lt;99,25,IF(EE74&lt;=149,30,IF(EE74&lt;=299,37,85))),IF(EE74&lt;=498,_xlfn.XLOOKUP(EW74,运费表!A:A,运费表!C:C,"重量超限",-1),_xlfn.XLOOKUP(EW74,运费表!A:A,运费表!D:D,"重量超限",-1)))</f>
        <v>37</v>
      </c>
      <c r="EQ74" s="182">
        <f t="shared" si="35"/>
        <v>20.37</v>
      </c>
      <c r="ER74" s="158">
        <f>_xlfn.XLOOKUP(K74,[4]目录表!$H:$H,[4]目录表!$X:$X)</f>
        <v>0.214</v>
      </c>
      <c r="ES74" s="158">
        <f>_xlfn.XLOOKUP(K74,[4]目录表!$H:$H,[4]目录表!$Y:$Y)</f>
        <v>7</v>
      </c>
      <c r="ET74" s="158">
        <f>_xlfn.XLOOKUP(K74,[4]目录表!$H:$H,[4]目录表!$Z:$Z)</f>
        <v>3</v>
      </c>
      <c r="EU74" s="158">
        <f>_xlfn.XLOOKUP(K74,[4]目录表!$H:$H,[4]目录表!$AA:$AA)</f>
        <v>6</v>
      </c>
      <c r="EV74" s="158">
        <f t="shared" si="21"/>
        <v>0.0252</v>
      </c>
      <c r="EW74" s="158">
        <f t="shared" si="36"/>
        <v>0.214</v>
      </c>
      <c r="EX74" s="193">
        <f>_xlfn.XLOOKUP(K74,[2]目录表!$H:$H,[2]目录表!$AB:$AB)</f>
        <v>0.000126</v>
      </c>
      <c r="EZ74" s="194">
        <f t="shared" si="38"/>
        <v>0</v>
      </c>
      <c r="FK74" s="128" t="str">
        <f>_xlfn.XLOOKUP(K74,[2]目录表!$H:$H,[2]目录表!$AJ:$AJ)</f>
        <v>散货</v>
      </c>
    </row>
    <row r="75" customHeight="1" spans="2:167">
      <c r="B75" s="208" t="s">
        <v>482</v>
      </c>
      <c r="C75" s="158">
        <v>34</v>
      </c>
      <c r="D75" s="158">
        <v>94</v>
      </c>
      <c r="E75" s="181" t="e">
        <f>_xlfn.XLOOKUP(K75,[3]工业配件!$AA:$AA,[3]工业配件!$L:$L)</f>
        <v>#N/A</v>
      </c>
      <c r="G75" s="128" t="s">
        <v>483</v>
      </c>
      <c r="H75" s="129" t="s">
        <v>484</v>
      </c>
      <c r="J75" s="203" t="s">
        <v>485</v>
      </c>
      <c r="K75" s="128" t="s">
        <v>486</v>
      </c>
      <c r="M75" s="189" t="s">
        <v>183</v>
      </c>
      <c r="N75" s="131">
        <f>_xlfn.XLOOKUP(L75,数据更新表!J:J,数据更新表!K:K)</f>
        <v>0</v>
      </c>
      <c r="O75" s="131" t="str">
        <f>IFERROR(_xlfn.XLOOKUP(K75,数据更新表!A:A,数据更新表!B:B),"0")</f>
        <v>0</v>
      </c>
      <c r="P75" s="131">
        <f>_xlfn.XLOOKUP(K75,[1]库销表!$F:$F,[1]库销表!$L:$L)</f>
        <v>0</v>
      </c>
      <c r="Q75" s="184" t="e">
        <f t="shared" si="28"/>
        <v>#DIV/0!</v>
      </c>
      <c r="S75" s="128" t="e">
        <f>_xlfn.XLOOKUP(K75,数据更新表!R:R,数据更新表!S:S)</f>
        <v>#N/A</v>
      </c>
      <c r="T75" s="128" t="e">
        <f>_xlfn.XLOOKUP(K75,数据更新表!V:V,数据更新表!W:W)</f>
        <v>#N/A</v>
      </c>
      <c r="V75" s="185" t="str">
        <f t="shared" si="29"/>
        <v>0</v>
      </c>
      <c r="W75" s="158">
        <f t="shared" si="30"/>
        <v>0</v>
      </c>
      <c r="X75" s="158">
        <f t="shared" si="37"/>
        <v>0</v>
      </c>
      <c r="AF75" s="128">
        <f t="shared" si="31"/>
        <v>0</v>
      </c>
      <c r="BR75" s="131"/>
      <c r="BS75" s="131">
        <f>_xlfn.XLOOKUP(K75,[1]库销表!$F:$F,[1]库销表!$L:$L)</f>
        <v>0</v>
      </c>
      <c r="BT75" s="131">
        <f t="shared" si="32"/>
        <v>0</v>
      </c>
      <c r="CW75" s="131">
        <f>_xlfn.XLOOKUP(K75,[1]库销表!$F:$F,[1]库销表!$IE:$IE)</f>
        <v>0</v>
      </c>
      <c r="CX75" s="131">
        <f>_xlfn.XLOOKUP(K75,[1]库销表!$F:$F,[1]库销表!$IF:$IF)</f>
        <v>0</v>
      </c>
      <c r="CY75" s="186">
        <f>_xlfn.XLOOKUP(K75,[1]库销表!$F:$F,[1]库销表!$FL:$FL)</f>
        <v>0</v>
      </c>
      <c r="CZ75" s="131">
        <f>_xlfn.XLOOKUP(K75,数据更新表!E:E,数据更新表!F:F,0)</f>
        <v>0</v>
      </c>
      <c r="DA75" s="131">
        <v>0</v>
      </c>
      <c r="DB75" s="131" t="e">
        <f>_xlfn.XLOOKUP(K75,数据更新表!E:E,数据更新表!G:G)</f>
        <v>#N/A</v>
      </c>
      <c r="DC75" s="187">
        <f>_xlfn.XLOOKUP(L75,数据更新表!Z:Z,数据更新表!AH:AH)</f>
        <v>0</v>
      </c>
      <c r="DD75" s="131">
        <f>_xlfn.XLOOKUP(L75,数据更新表!Z:Z,数据更新表!AE:AE)</f>
        <v>0</v>
      </c>
      <c r="DE75" s="131">
        <f>_xlfn.XLOOKUP(L75,数据更新表!Z:Z,数据更新表!AF:AF)</f>
        <v>0</v>
      </c>
      <c r="DF75" s="131" t="e">
        <f>_xlfn.XLOOKUP(K75,数据更新表!Z:Z,数据更新表!AG:AG)</f>
        <v>#N/A</v>
      </c>
      <c r="DG75" s="128">
        <f>_xlfn.XLOOKUP(L75,数据更新表!Z:Z,数据更新表!AD:AD)</f>
        <v>0</v>
      </c>
      <c r="DH75" s="128">
        <f>_xlfn.XLOOKUP(L75,数据更新表!Z:Z,数据更新表!AA:AA)</f>
        <v>0</v>
      </c>
      <c r="DI75" s="128">
        <f>_xlfn.XLOOKUP(L75,数据更新表!Z:Z,数据更新表!AB:AB)</f>
        <v>0</v>
      </c>
      <c r="DJ75" s="128">
        <f>_xlfn.XLOOKUP(L75,数据更新表!Z:Z,数据更新表!AC:AC)</f>
        <v>0</v>
      </c>
      <c r="DK75" s="133">
        <f>_xlfn.XLOOKUP(L75,数据更新表!Z:Z,数据更新表!AI:AI)</f>
        <v>0</v>
      </c>
      <c r="DL75" s="133">
        <f>_xlfn.XLOOKUP(L75,数据更新表!AL:AL,数据更新表!AM:AM)</f>
        <v>0</v>
      </c>
      <c r="DM75" s="131">
        <f>_xlfn.XLOOKUP(L75,数据更新表!Z:Z,数据更新表!AJ:AJ)</f>
        <v>0</v>
      </c>
      <c r="EE75" s="128">
        <v>86</v>
      </c>
      <c r="EF75" s="128"/>
      <c r="EG75" s="158">
        <v>5.23</v>
      </c>
      <c r="EH75" s="191">
        <f t="shared" si="39"/>
        <v>1.38969106906075</v>
      </c>
      <c r="EI75" s="158">
        <f t="shared" si="40"/>
        <v>13.6503</v>
      </c>
      <c r="EJ75" s="190">
        <f t="shared" si="33"/>
        <v>18.9697</v>
      </c>
      <c r="EK75" s="191">
        <f t="shared" si="41"/>
        <v>0.220577906976744</v>
      </c>
      <c r="EL75" s="192">
        <f t="shared" si="44"/>
        <v>0</v>
      </c>
      <c r="EM75" s="158" t="str">
        <f t="shared" si="42"/>
        <v>否</v>
      </c>
      <c r="EN75" s="158">
        <f t="shared" si="43"/>
        <v>4.3</v>
      </c>
      <c r="EO75" s="190">
        <f t="shared" si="34"/>
        <v>15.05</v>
      </c>
      <c r="EP75" s="182">
        <f>IF(EE75&lt;299,IF(EE75&lt;99,25,IF(EE75&lt;=149,30,IF(EE75&lt;=299,37,85))),IF(EE75&lt;=498,_xlfn.XLOOKUP(EW75,运费表!A:A,运费表!C:C,"重量超限",-1),_xlfn.XLOOKUP(EW75,运费表!A:A,运费表!D:D,"重量超限",-1)))</f>
        <v>25</v>
      </c>
      <c r="EQ75" s="182">
        <f t="shared" si="35"/>
        <v>9.03</v>
      </c>
      <c r="ER75" s="158">
        <f>_xlfn.XLOOKUP(K75,[4]目录表!$H:$H,[4]目录表!$X:$X)</f>
        <v>0.07</v>
      </c>
      <c r="ES75" s="158">
        <f>_xlfn.XLOOKUP(K75,[4]目录表!$H:$H,[4]目录表!$Y:$Y)</f>
        <v>0</v>
      </c>
      <c r="ET75" s="158">
        <f>_xlfn.XLOOKUP(K75,[4]目录表!$H:$H,[4]目录表!$Z:$Z)</f>
        <v>0</v>
      </c>
      <c r="EU75" s="158">
        <f>_xlfn.XLOOKUP(K75,[4]目录表!$H:$H,[4]目录表!$AA:$AA)</f>
        <v>0</v>
      </c>
      <c r="EV75" s="158">
        <f t="shared" si="21"/>
        <v>0</v>
      </c>
      <c r="EW75" s="158">
        <f t="shared" si="36"/>
        <v>0.07</v>
      </c>
      <c r="EX75" s="193">
        <f>_xlfn.XLOOKUP(K75,[2]目录表!$H:$H,[2]目录表!$AB:$AB)</f>
        <v>0</v>
      </c>
      <c r="EY75" s="128" t="s">
        <v>487</v>
      </c>
      <c r="EZ75" s="194">
        <f t="shared" si="38"/>
        <v>0</v>
      </c>
      <c r="FK75" s="128" t="str">
        <f>_xlfn.XLOOKUP(K75,[2]目录表!$H:$H,[2]目录表!$AJ:$AJ)</f>
        <v>散货</v>
      </c>
    </row>
    <row r="76" customHeight="1" spans="2:167">
      <c r="B76" s="208" t="s">
        <v>488</v>
      </c>
      <c r="C76" s="158">
        <v>12</v>
      </c>
      <c r="D76" s="158">
        <v>50</v>
      </c>
      <c r="E76" s="181" t="e">
        <f>_xlfn.XLOOKUP(K76,[3]工业配件!$AA:$AA,[3]工业配件!$L:$L)</f>
        <v>#N/A</v>
      </c>
      <c r="G76" s="128" t="s">
        <v>489</v>
      </c>
      <c r="H76" s="129" t="s">
        <v>490</v>
      </c>
      <c r="J76" s="203" t="s">
        <v>491</v>
      </c>
      <c r="K76" s="128" t="s">
        <v>492</v>
      </c>
      <c r="M76" s="189" t="s">
        <v>183</v>
      </c>
      <c r="N76" s="131">
        <f>_xlfn.XLOOKUP(L76,数据更新表!J:J,数据更新表!K:K)</f>
        <v>0</v>
      </c>
      <c r="O76" s="131" t="str">
        <f>IFERROR(_xlfn.XLOOKUP(K76,数据更新表!A:A,数据更新表!B:B),"0")</f>
        <v>0</v>
      </c>
      <c r="P76" s="131">
        <f>_xlfn.XLOOKUP(K76,[1]库销表!$F:$F,[1]库销表!$L:$L)</f>
        <v>0</v>
      </c>
      <c r="Q76" s="184" t="e">
        <f t="shared" si="28"/>
        <v>#DIV/0!</v>
      </c>
      <c r="S76" s="128" t="e">
        <f>_xlfn.XLOOKUP(K76,数据更新表!R:R,数据更新表!S:S)</f>
        <v>#N/A</v>
      </c>
      <c r="T76" s="128" t="e">
        <f>_xlfn.XLOOKUP(K76,数据更新表!V:V,数据更新表!W:W)</f>
        <v>#N/A</v>
      </c>
      <c r="V76" s="185" t="str">
        <f t="shared" si="29"/>
        <v>0</v>
      </c>
      <c r="W76" s="158">
        <f t="shared" si="30"/>
        <v>0</v>
      </c>
      <c r="X76" s="158">
        <f t="shared" si="37"/>
        <v>0</v>
      </c>
      <c r="AF76" s="128">
        <f t="shared" si="31"/>
        <v>0</v>
      </c>
      <c r="BR76" s="131"/>
      <c r="BS76" s="131">
        <f>_xlfn.XLOOKUP(K76,[1]库销表!$F:$F,[1]库销表!$L:$L)</f>
        <v>0</v>
      </c>
      <c r="BT76" s="131">
        <f t="shared" si="32"/>
        <v>0</v>
      </c>
      <c r="CW76" s="131">
        <f>_xlfn.XLOOKUP(K76,[1]库销表!$F:$F,[1]库销表!$IE:$IE)</f>
        <v>0</v>
      </c>
      <c r="CX76" s="131">
        <f>_xlfn.XLOOKUP(K76,[1]库销表!$F:$F,[1]库销表!$IF:$IF)</f>
        <v>0</v>
      </c>
      <c r="CY76" s="186">
        <f>_xlfn.XLOOKUP(K76,[1]库销表!$F:$F,[1]库销表!$FL:$FL)</f>
        <v>0</v>
      </c>
      <c r="CZ76" s="131">
        <f>_xlfn.XLOOKUP(K76,数据更新表!E:E,数据更新表!F:F,0)</f>
        <v>0</v>
      </c>
      <c r="DA76" s="131">
        <v>0</v>
      </c>
      <c r="DB76" s="131" t="e">
        <f>_xlfn.XLOOKUP(K76,数据更新表!E:E,数据更新表!G:G)</f>
        <v>#N/A</v>
      </c>
      <c r="DC76" s="187">
        <f>_xlfn.XLOOKUP(L76,数据更新表!Z:Z,数据更新表!AH:AH)</f>
        <v>0</v>
      </c>
      <c r="DD76" s="131">
        <f>_xlfn.XLOOKUP(L76,数据更新表!Z:Z,数据更新表!AE:AE)</f>
        <v>0</v>
      </c>
      <c r="DE76" s="131">
        <f>_xlfn.XLOOKUP(L76,数据更新表!Z:Z,数据更新表!AF:AF)</f>
        <v>0</v>
      </c>
      <c r="DF76" s="131" t="e">
        <f>_xlfn.XLOOKUP(K76,数据更新表!Z:Z,数据更新表!AG:AG)</f>
        <v>#N/A</v>
      </c>
      <c r="DG76" s="128">
        <f>_xlfn.XLOOKUP(L76,数据更新表!Z:Z,数据更新表!AD:AD)</f>
        <v>0</v>
      </c>
      <c r="DH76" s="128">
        <f>_xlfn.XLOOKUP(L76,数据更新表!Z:Z,数据更新表!AA:AA)</f>
        <v>0</v>
      </c>
      <c r="DI76" s="128">
        <f>_xlfn.XLOOKUP(L76,数据更新表!Z:Z,数据更新表!AB:AB)</f>
        <v>0</v>
      </c>
      <c r="DJ76" s="128">
        <f>_xlfn.XLOOKUP(L76,数据更新表!Z:Z,数据更新表!AC:AC)</f>
        <v>0</v>
      </c>
      <c r="DK76" s="133">
        <f>_xlfn.XLOOKUP(L76,数据更新表!Z:Z,数据更新表!AI:AI)</f>
        <v>0</v>
      </c>
      <c r="DL76" s="133">
        <f>_xlfn.XLOOKUP(L76,数据更新表!AL:AL,数据更新表!AM:AM)</f>
        <v>0</v>
      </c>
      <c r="DM76" s="131">
        <f>_xlfn.XLOOKUP(L76,数据更新表!Z:Z,数据更新表!AJ:AJ)</f>
        <v>0</v>
      </c>
      <c r="EE76" s="128">
        <v>180</v>
      </c>
      <c r="EF76" s="128"/>
      <c r="EG76" s="158">
        <v>10</v>
      </c>
      <c r="EH76" s="191">
        <f t="shared" si="39"/>
        <v>1.13310144785537</v>
      </c>
      <c r="EI76" s="158">
        <f t="shared" si="40"/>
        <v>26.1</v>
      </c>
      <c r="EJ76" s="190">
        <f t="shared" si="33"/>
        <v>44.40824</v>
      </c>
      <c r="EK76" s="191">
        <f t="shared" si="41"/>
        <v>0.246712444444445</v>
      </c>
      <c r="EL76" s="192">
        <f t="shared" si="44"/>
        <v>13.09176</v>
      </c>
      <c r="EM76" s="158" t="str">
        <f t="shared" si="42"/>
        <v>否</v>
      </c>
      <c r="EN76" s="158">
        <f t="shared" si="43"/>
        <v>9</v>
      </c>
      <c r="EO76" s="190">
        <f t="shared" si="34"/>
        <v>31.5</v>
      </c>
      <c r="EP76" s="182">
        <f>IF(EE76&lt;299,IF(EE76&lt;99,25,IF(EE76&lt;=149,30,IF(EE76&lt;=299,37,85))),IF(EE76&lt;=498,_xlfn.XLOOKUP(EW76,运费表!A:A,运费表!C:C,"重量超限",-1),_xlfn.XLOOKUP(EW76,运费表!A:A,运费表!D:D,"重量超限",-1)))</f>
        <v>37</v>
      </c>
      <c r="EQ76" s="182">
        <f t="shared" si="35"/>
        <v>18.9</v>
      </c>
      <c r="ER76" s="158">
        <f>_xlfn.XLOOKUP(K76,[4]目录表!$H:$H,[4]目录表!$X:$X)</f>
        <v>0.16</v>
      </c>
      <c r="ES76" s="158">
        <f>_xlfn.XLOOKUP(K76,[4]目录表!$H:$H,[4]目录表!$Y:$Y)</f>
        <v>16</v>
      </c>
      <c r="ET76" s="158">
        <f>_xlfn.XLOOKUP(K76,[4]目录表!$H:$H,[4]目录表!$Z:$Z)</f>
        <v>9.5</v>
      </c>
      <c r="EU76" s="158">
        <f>_xlfn.XLOOKUP(K76,[4]目录表!$H:$H,[4]目录表!$AA:$AA)</f>
        <v>11</v>
      </c>
      <c r="EV76" s="158">
        <f t="shared" si="21"/>
        <v>0.3344</v>
      </c>
      <c r="EW76" s="158">
        <f t="shared" si="36"/>
        <v>0.3344</v>
      </c>
      <c r="EX76" s="193">
        <f>_xlfn.XLOOKUP(K76,[2]目录表!$H:$H,[2]目录表!$AB:$AB)</f>
        <v>0.001672</v>
      </c>
      <c r="EZ76" s="194">
        <f t="shared" si="38"/>
        <v>0</v>
      </c>
      <c r="FK76" s="128" t="str">
        <f>_xlfn.XLOOKUP(K76,[2]目录表!$H:$H,[2]目录表!$AJ:$AJ)</f>
        <v>散货</v>
      </c>
    </row>
    <row r="77" customHeight="1" spans="2:167">
      <c r="B77" s="208" t="s">
        <v>493</v>
      </c>
      <c r="C77" s="158">
        <v>28</v>
      </c>
      <c r="D77" s="158">
        <v>130</v>
      </c>
      <c r="E77" s="181" t="e">
        <f>_xlfn.XLOOKUP(K77,[3]工业配件!$AA:$AA,[3]工业配件!$L:$L)</f>
        <v>#N/A</v>
      </c>
      <c r="G77" s="128" t="s">
        <v>494</v>
      </c>
      <c r="H77" s="129" t="s">
        <v>495</v>
      </c>
      <c r="J77" s="203" t="s">
        <v>496</v>
      </c>
      <c r="K77" s="128" t="s">
        <v>497</v>
      </c>
      <c r="M77" s="189" t="s">
        <v>183</v>
      </c>
      <c r="N77" s="131">
        <f>_xlfn.XLOOKUP(L77,数据更新表!J:J,数据更新表!K:K)</f>
        <v>0</v>
      </c>
      <c r="O77" s="131" t="str">
        <f>IFERROR(_xlfn.XLOOKUP(K77,数据更新表!A:A,数据更新表!B:B),"0")</f>
        <v>0</v>
      </c>
      <c r="P77" s="131">
        <f>_xlfn.XLOOKUP(K77,[1]库销表!$F:$F,[1]库销表!$L:$L)</f>
        <v>0</v>
      </c>
      <c r="Q77" s="184" t="e">
        <f t="shared" si="28"/>
        <v>#DIV/0!</v>
      </c>
      <c r="S77" s="128" t="e">
        <f>_xlfn.XLOOKUP(K77,数据更新表!R:R,数据更新表!S:S)</f>
        <v>#N/A</v>
      </c>
      <c r="T77" s="128" t="e">
        <f>_xlfn.XLOOKUP(K77,数据更新表!V:V,数据更新表!W:W)</f>
        <v>#N/A</v>
      </c>
      <c r="V77" s="185" t="str">
        <f t="shared" si="29"/>
        <v>0</v>
      </c>
      <c r="W77" s="158">
        <f t="shared" si="30"/>
        <v>0</v>
      </c>
      <c r="X77" s="158">
        <f t="shared" si="37"/>
        <v>0</v>
      </c>
      <c r="AF77" s="128">
        <f t="shared" si="31"/>
        <v>0</v>
      </c>
      <c r="BR77" s="131"/>
      <c r="BS77" s="131">
        <f>_xlfn.XLOOKUP(K77,[1]库销表!$F:$F,[1]库销表!$L:$L)</f>
        <v>0</v>
      </c>
      <c r="BT77" s="131">
        <f t="shared" si="32"/>
        <v>0</v>
      </c>
      <c r="CW77" s="131">
        <f>_xlfn.XLOOKUP(K77,[1]库销表!$F:$F,[1]库销表!$IE:$IE)</f>
        <v>0</v>
      </c>
      <c r="CX77" s="131">
        <f>_xlfn.XLOOKUP(K77,[1]库销表!$F:$F,[1]库销表!$IF:$IF)</f>
        <v>0</v>
      </c>
      <c r="CY77" s="186">
        <f>_xlfn.XLOOKUP(K77,[1]库销表!$F:$F,[1]库销表!$FL:$FL)</f>
        <v>0</v>
      </c>
      <c r="CZ77" s="131">
        <f>_xlfn.XLOOKUP(K77,数据更新表!E:E,数据更新表!F:F,0)</f>
        <v>0</v>
      </c>
      <c r="DA77" s="131">
        <v>0</v>
      </c>
      <c r="DB77" s="131" t="e">
        <f>_xlfn.XLOOKUP(K77,数据更新表!E:E,数据更新表!G:G)</f>
        <v>#N/A</v>
      </c>
      <c r="DC77" s="187">
        <f>_xlfn.XLOOKUP(L77,数据更新表!Z:Z,数据更新表!AH:AH)</f>
        <v>0</v>
      </c>
      <c r="DD77" s="131">
        <f>_xlfn.XLOOKUP(L77,数据更新表!Z:Z,数据更新表!AE:AE)</f>
        <v>0</v>
      </c>
      <c r="DE77" s="131">
        <f>_xlfn.XLOOKUP(L77,数据更新表!Z:Z,数据更新表!AF:AF)</f>
        <v>0</v>
      </c>
      <c r="DF77" s="131" t="e">
        <f>_xlfn.XLOOKUP(K77,数据更新表!Z:Z,数据更新表!AG:AG)</f>
        <v>#N/A</v>
      </c>
      <c r="DG77" s="128">
        <f>_xlfn.XLOOKUP(L77,数据更新表!Z:Z,数据更新表!AD:AD)</f>
        <v>0</v>
      </c>
      <c r="DH77" s="128">
        <f>_xlfn.XLOOKUP(L77,数据更新表!Z:Z,数据更新表!AA:AA)</f>
        <v>0</v>
      </c>
      <c r="DI77" s="128">
        <f>_xlfn.XLOOKUP(L77,数据更新表!Z:Z,数据更新表!AB:AB)</f>
        <v>0</v>
      </c>
      <c r="DJ77" s="128">
        <f>_xlfn.XLOOKUP(L77,数据更新表!Z:Z,数据更新表!AC:AC)</f>
        <v>0</v>
      </c>
      <c r="DK77" s="133">
        <f>_xlfn.XLOOKUP(L77,数据更新表!Z:Z,数据更新表!AI:AI)</f>
        <v>0</v>
      </c>
      <c r="DL77" s="133">
        <f>_xlfn.XLOOKUP(L77,数据更新表!AL:AL,数据更新表!AM:AM)</f>
        <v>0</v>
      </c>
      <c r="DM77" s="131">
        <f>_xlfn.XLOOKUP(L77,数据更新表!Z:Z,数据更新表!AJ:AJ)</f>
        <v>0</v>
      </c>
      <c r="EE77" s="128">
        <v>115</v>
      </c>
      <c r="EF77" s="128"/>
      <c r="EG77" s="158">
        <v>6.4</v>
      </c>
      <c r="EH77" s="191">
        <f t="shared" si="39"/>
        <v>1.5490412787573</v>
      </c>
      <c r="EI77" s="158">
        <f t="shared" si="40"/>
        <v>16.704</v>
      </c>
      <c r="EJ77" s="190">
        <f t="shared" si="33"/>
        <v>28.59208</v>
      </c>
      <c r="EK77" s="191">
        <f t="shared" si="41"/>
        <v>0.248626782608696</v>
      </c>
      <c r="EL77" s="192">
        <f t="shared" si="44"/>
        <v>1.75392</v>
      </c>
      <c r="EM77" s="158" t="str">
        <f t="shared" si="42"/>
        <v>否</v>
      </c>
      <c r="EN77" s="158">
        <f t="shared" si="43"/>
        <v>5.75</v>
      </c>
      <c r="EO77" s="190">
        <f t="shared" si="34"/>
        <v>20.125</v>
      </c>
      <c r="EP77" s="182">
        <f>IF(EE77&lt;299,IF(EE77&lt;99,25,IF(EE77&lt;=149,30,IF(EE77&lt;=299,37,85))),IF(EE77&lt;=498,_xlfn.XLOOKUP(EW77,运费表!A:A,运费表!C:C,"重量超限",-1),_xlfn.XLOOKUP(EW77,运费表!A:A,运费表!D:D,"重量超限",-1)))</f>
        <v>30</v>
      </c>
      <c r="EQ77" s="182">
        <f t="shared" si="35"/>
        <v>12.075</v>
      </c>
      <c r="ER77" s="158">
        <f>_xlfn.XLOOKUP(K77,[4]目录表!$H:$H,[4]目录表!$X:$X)</f>
        <v>0.1</v>
      </c>
      <c r="ES77" s="158">
        <f>_xlfn.XLOOKUP(K77,[4]目录表!$H:$H,[4]目录表!$Y:$Y)</f>
        <v>8</v>
      </c>
      <c r="ET77" s="158">
        <f>_xlfn.XLOOKUP(K77,[4]目录表!$H:$H,[4]目录表!$Z:$Z)</f>
        <v>8</v>
      </c>
      <c r="EU77" s="158">
        <f>_xlfn.XLOOKUP(K77,[4]目录表!$H:$H,[4]目录表!$AA:$AA)</f>
        <v>3.5</v>
      </c>
      <c r="EV77" s="158">
        <f t="shared" si="21"/>
        <v>0.0448</v>
      </c>
      <c r="EW77" s="158">
        <f t="shared" si="36"/>
        <v>0.1</v>
      </c>
      <c r="EX77" s="193">
        <f>_xlfn.XLOOKUP(K77,[2]目录表!$H:$H,[2]目录表!$AB:$AB)</f>
        <v>0.000224</v>
      </c>
      <c r="EZ77" s="194">
        <f t="shared" si="38"/>
        <v>0</v>
      </c>
      <c r="FK77" s="128" t="str">
        <f>_xlfn.XLOOKUP(K77,[2]目录表!$H:$H,[2]目录表!$AJ:$AJ)</f>
        <v>散货</v>
      </c>
    </row>
    <row r="78" customHeight="1" spans="2:167">
      <c r="B78" s="208" t="s">
        <v>498</v>
      </c>
      <c r="C78" s="158">
        <v>5</v>
      </c>
      <c r="D78" s="158">
        <v>58</v>
      </c>
      <c r="E78" s="181" t="e">
        <f>_xlfn.XLOOKUP(K78,[3]工业配件!$AA:$AA,[3]工业配件!$L:$L)</f>
        <v>#N/A</v>
      </c>
      <c r="G78" s="128" t="s">
        <v>499</v>
      </c>
      <c r="H78" s="129" t="s">
        <v>500</v>
      </c>
      <c r="J78" s="203" t="s">
        <v>501</v>
      </c>
      <c r="K78" s="128" t="s">
        <v>502</v>
      </c>
      <c r="M78" s="189" t="s">
        <v>183</v>
      </c>
      <c r="N78" s="131">
        <f>_xlfn.XLOOKUP(L78,数据更新表!J:J,数据更新表!K:K)</f>
        <v>0</v>
      </c>
      <c r="O78" s="131" t="str">
        <f>IFERROR(_xlfn.XLOOKUP(K78,数据更新表!A:A,数据更新表!B:B),"0")</f>
        <v>0</v>
      </c>
      <c r="P78" s="131">
        <f>_xlfn.XLOOKUP(K78,[1]库销表!$F:$F,[1]库销表!$L:$L)</f>
        <v>0</v>
      </c>
      <c r="Q78" s="184" t="e">
        <f t="shared" si="28"/>
        <v>#DIV/0!</v>
      </c>
      <c r="S78" s="128" t="e">
        <f>_xlfn.XLOOKUP(K78,数据更新表!R:R,数据更新表!S:S)</f>
        <v>#N/A</v>
      </c>
      <c r="T78" s="128" t="e">
        <f>_xlfn.XLOOKUP(K78,数据更新表!V:V,数据更新表!W:W)</f>
        <v>#N/A</v>
      </c>
      <c r="V78" s="185" t="str">
        <f t="shared" si="29"/>
        <v>0</v>
      </c>
      <c r="W78" s="158">
        <f t="shared" si="30"/>
        <v>0</v>
      </c>
      <c r="X78" s="158">
        <f t="shared" si="37"/>
        <v>0</v>
      </c>
      <c r="AF78" s="128">
        <f t="shared" si="31"/>
        <v>0</v>
      </c>
      <c r="BR78" s="131"/>
      <c r="BS78" s="131">
        <f>_xlfn.XLOOKUP(K78,[1]库销表!$F:$F,[1]库销表!$L:$L)</f>
        <v>0</v>
      </c>
      <c r="BT78" s="131">
        <f t="shared" si="32"/>
        <v>0</v>
      </c>
      <c r="CW78" s="131">
        <f>_xlfn.XLOOKUP(K78,[1]库销表!$F:$F,[1]库销表!$IE:$IE)</f>
        <v>0</v>
      </c>
      <c r="CX78" s="131">
        <f>_xlfn.XLOOKUP(K78,[1]库销表!$F:$F,[1]库销表!$IF:$IF)</f>
        <v>0</v>
      </c>
      <c r="CY78" s="186">
        <f>_xlfn.XLOOKUP(K78,[1]库销表!$F:$F,[1]库销表!$FL:$FL)</f>
        <v>0</v>
      </c>
      <c r="CZ78" s="131">
        <f>_xlfn.XLOOKUP(K78,数据更新表!E:E,数据更新表!F:F,0)</f>
        <v>0</v>
      </c>
      <c r="DA78" s="131">
        <v>0</v>
      </c>
      <c r="DB78" s="131" t="e">
        <f>_xlfn.XLOOKUP(K78,数据更新表!E:E,数据更新表!G:G)</f>
        <v>#N/A</v>
      </c>
      <c r="DC78" s="187">
        <f>_xlfn.XLOOKUP(L78,数据更新表!Z:Z,数据更新表!AH:AH)</f>
        <v>0</v>
      </c>
      <c r="DD78" s="131">
        <f>_xlfn.XLOOKUP(L78,数据更新表!Z:Z,数据更新表!AE:AE)</f>
        <v>0</v>
      </c>
      <c r="DE78" s="131">
        <f>_xlfn.XLOOKUP(L78,数据更新表!Z:Z,数据更新表!AF:AF)</f>
        <v>0</v>
      </c>
      <c r="DF78" s="131" t="e">
        <f>_xlfn.XLOOKUP(K78,数据更新表!Z:Z,数据更新表!AG:AG)</f>
        <v>#N/A</v>
      </c>
      <c r="DG78" s="128">
        <f>_xlfn.XLOOKUP(L78,数据更新表!Z:Z,数据更新表!AD:AD)</f>
        <v>0</v>
      </c>
      <c r="DH78" s="128">
        <f>_xlfn.XLOOKUP(L78,数据更新表!Z:Z,数据更新表!AA:AA)</f>
        <v>0</v>
      </c>
      <c r="DI78" s="128">
        <f>_xlfn.XLOOKUP(L78,数据更新表!Z:Z,数据更新表!AB:AB)</f>
        <v>0</v>
      </c>
      <c r="DJ78" s="128">
        <f>_xlfn.XLOOKUP(L78,数据更新表!Z:Z,数据更新表!AC:AC)</f>
        <v>0</v>
      </c>
      <c r="DK78" s="133">
        <f>_xlfn.XLOOKUP(L78,数据更新表!Z:Z,数据更新表!AI:AI)</f>
        <v>0</v>
      </c>
      <c r="DL78" s="133">
        <f>_xlfn.XLOOKUP(L78,数据更新表!AL:AL,数据更新表!AM:AM)</f>
        <v>0</v>
      </c>
      <c r="DM78" s="131">
        <f>_xlfn.XLOOKUP(L78,数据更新表!Z:Z,数据更新表!AJ:AJ)</f>
        <v>0</v>
      </c>
      <c r="EE78" s="128">
        <v>99</v>
      </c>
      <c r="EF78" s="128"/>
      <c r="EG78" s="158">
        <v>5.9</v>
      </c>
      <c r="EH78" s="191">
        <f t="shared" si="39"/>
        <v>1.2235687268187</v>
      </c>
      <c r="EI78" s="158">
        <f t="shared" si="40"/>
        <v>15.399</v>
      </c>
      <c r="EJ78" s="190">
        <f t="shared" si="33"/>
        <v>19.9914</v>
      </c>
      <c r="EK78" s="191">
        <f t="shared" si="41"/>
        <v>0.201933333333333</v>
      </c>
      <c r="EL78" s="192">
        <f t="shared" si="44"/>
        <v>0.9396</v>
      </c>
      <c r="EM78" s="158" t="str">
        <f t="shared" si="42"/>
        <v>否</v>
      </c>
      <c r="EN78" s="158">
        <f t="shared" si="43"/>
        <v>4.95</v>
      </c>
      <c r="EO78" s="190">
        <f t="shared" si="34"/>
        <v>17.325</v>
      </c>
      <c r="EP78" s="182">
        <f>IF(EE78&lt;299,IF(EE78&lt;99,25,IF(EE78&lt;=149,30,IF(EE78&lt;=299,37,85))),IF(EE78&lt;=498,_xlfn.XLOOKUP(EW78,运费表!A:A,运费表!C:C,"重量超限",-1),_xlfn.XLOOKUP(EW78,运费表!A:A,运费表!D:D,"重量超限",-1)))</f>
        <v>30</v>
      </c>
      <c r="EQ78" s="182">
        <f t="shared" si="35"/>
        <v>10.395</v>
      </c>
      <c r="ER78" s="158">
        <f>_xlfn.XLOOKUP(K78,[4]目录表!$H:$H,[4]目录表!$X:$X)</f>
        <v>0.1</v>
      </c>
      <c r="ES78" s="158">
        <f>_xlfn.XLOOKUP(K78,[4]目录表!$H:$H,[4]目录表!$Y:$Y)</f>
        <v>6</v>
      </c>
      <c r="ET78" s="158">
        <f>_xlfn.XLOOKUP(K78,[4]目录表!$H:$H,[4]目录表!$Z:$Z)</f>
        <v>5</v>
      </c>
      <c r="EU78" s="158">
        <f>_xlfn.XLOOKUP(K78,[4]目录表!$H:$H,[4]目录表!$AA:$AA)</f>
        <v>4</v>
      </c>
      <c r="EV78" s="158">
        <f t="shared" si="21"/>
        <v>0.024</v>
      </c>
      <c r="EW78" s="158">
        <f t="shared" si="36"/>
        <v>0.1</v>
      </c>
      <c r="EX78" s="193">
        <f>_xlfn.XLOOKUP(K78,[2]目录表!$H:$H,[2]目录表!$AB:$AB)</f>
        <v>0.00012</v>
      </c>
      <c r="EZ78" s="194">
        <f t="shared" si="38"/>
        <v>0</v>
      </c>
      <c r="FK78" s="128" t="str">
        <f>_xlfn.XLOOKUP(K78,[2]目录表!$H:$H,[2]目录表!$AJ:$AJ)</f>
        <v>散货</v>
      </c>
    </row>
    <row r="79" customHeight="1" spans="2:167">
      <c r="B79" s="208" t="s">
        <v>503</v>
      </c>
      <c r="C79" s="158">
        <v>6</v>
      </c>
      <c r="D79" s="158">
        <v>36</v>
      </c>
      <c r="E79" s="181" t="e">
        <f>_xlfn.XLOOKUP(K79,[3]工业配件!$AA:$AA,[3]工业配件!$L:$L)</f>
        <v>#N/A</v>
      </c>
      <c r="G79" s="128" t="s">
        <v>504</v>
      </c>
      <c r="H79" s="129" t="s">
        <v>505</v>
      </c>
      <c r="J79" s="203" t="s">
        <v>506</v>
      </c>
      <c r="K79" s="128" t="s">
        <v>507</v>
      </c>
      <c r="M79" s="189" t="s">
        <v>183</v>
      </c>
      <c r="N79" s="131">
        <f>_xlfn.XLOOKUP(L79,数据更新表!J:J,数据更新表!K:K)</f>
        <v>0</v>
      </c>
      <c r="O79" s="131" t="str">
        <f>IFERROR(_xlfn.XLOOKUP(K79,数据更新表!A:A,数据更新表!B:B),"0")</f>
        <v>0</v>
      </c>
      <c r="P79" s="131">
        <f>_xlfn.XLOOKUP(K79,[1]库销表!$F:$F,[1]库销表!$L:$L)</f>
        <v>0</v>
      </c>
      <c r="Q79" s="184" t="e">
        <f t="shared" si="28"/>
        <v>#DIV/0!</v>
      </c>
      <c r="S79" s="128" t="e">
        <f>_xlfn.XLOOKUP(K79,数据更新表!R:R,数据更新表!S:S)</f>
        <v>#N/A</v>
      </c>
      <c r="T79" s="128" t="e">
        <f>_xlfn.XLOOKUP(K79,数据更新表!V:V,数据更新表!W:W)</f>
        <v>#N/A</v>
      </c>
      <c r="V79" s="185" t="str">
        <f t="shared" si="29"/>
        <v>0</v>
      </c>
      <c r="W79" s="158">
        <f t="shared" si="30"/>
        <v>0</v>
      </c>
      <c r="X79" s="158">
        <f t="shared" si="37"/>
        <v>0</v>
      </c>
      <c r="AF79" s="128">
        <f t="shared" si="31"/>
        <v>0</v>
      </c>
      <c r="BR79" s="131"/>
      <c r="BS79" s="131">
        <f>_xlfn.XLOOKUP(K79,[1]库销表!$F:$F,[1]库销表!$L:$L)</f>
        <v>0</v>
      </c>
      <c r="BT79" s="131">
        <f t="shared" si="32"/>
        <v>0</v>
      </c>
      <c r="CW79" s="131">
        <f>_xlfn.XLOOKUP(K79,[1]库销表!$F:$F,[1]库销表!$IE:$IE)</f>
        <v>0</v>
      </c>
      <c r="CX79" s="131">
        <f>_xlfn.XLOOKUP(K79,[1]库销表!$F:$F,[1]库销表!$IF:$IF)</f>
        <v>0</v>
      </c>
      <c r="CY79" s="186">
        <f>_xlfn.XLOOKUP(K79,[1]库销表!$F:$F,[1]库销表!$FL:$FL)</f>
        <v>0</v>
      </c>
      <c r="CZ79" s="131">
        <f>_xlfn.XLOOKUP(K79,数据更新表!E:E,数据更新表!F:F,0)</f>
        <v>0</v>
      </c>
      <c r="DA79" s="131">
        <v>0</v>
      </c>
      <c r="DB79" s="131" t="e">
        <f>_xlfn.XLOOKUP(K79,数据更新表!E:E,数据更新表!G:G)</f>
        <v>#N/A</v>
      </c>
      <c r="DC79" s="187">
        <f>_xlfn.XLOOKUP(L79,数据更新表!Z:Z,数据更新表!AH:AH)</f>
        <v>0</v>
      </c>
      <c r="DD79" s="131">
        <f>_xlfn.XLOOKUP(L79,数据更新表!Z:Z,数据更新表!AE:AE)</f>
        <v>0</v>
      </c>
      <c r="DE79" s="131">
        <f>_xlfn.XLOOKUP(L79,数据更新表!Z:Z,数据更新表!AF:AF)</f>
        <v>0</v>
      </c>
      <c r="DF79" s="131" t="e">
        <f>_xlfn.XLOOKUP(K79,数据更新表!Z:Z,数据更新表!AG:AG)</f>
        <v>#N/A</v>
      </c>
      <c r="DG79" s="128">
        <f>_xlfn.XLOOKUP(L79,数据更新表!Z:Z,数据更新表!AD:AD)</f>
        <v>0</v>
      </c>
      <c r="DH79" s="128">
        <f>_xlfn.XLOOKUP(L79,数据更新表!Z:Z,数据更新表!AA:AA)</f>
        <v>0</v>
      </c>
      <c r="DI79" s="128">
        <f>_xlfn.XLOOKUP(L79,数据更新表!Z:Z,数据更新表!AB:AB)</f>
        <v>0</v>
      </c>
      <c r="DJ79" s="128">
        <f>_xlfn.XLOOKUP(L79,数据更新表!Z:Z,数据更新表!AC:AC)</f>
        <v>0</v>
      </c>
      <c r="DK79" s="133">
        <f>_xlfn.XLOOKUP(L79,数据更新表!Z:Z,数据更新表!AI:AI)</f>
        <v>0</v>
      </c>
      <c r="DL79" s="133">
        <f>_xlfn.XLOOKUP(L79,数据更新表!AL:AL,数据更新表!AM:AM)</f>
        <v>0</v>
      </c>
      <c r="DM79" s="131">
        <f>_xlfn.XLOOKUP(L79,数据更新表!Z:Z,数据更新表!AJ:AJ)</f>
        <v>0</v>
      </c>
      <c r="EE79" s="128">
        <v>184</v>
      </c>
      <c r="EF79" s="128"/>
      <c r="EG79" s="158">
        <v>20</v>
      </c>
      <c r="EH79" s="191">
        <f t="shared" si="39"/>
        <v>0.592484174591615</v>
      </c>
      <c r="EI79" s="158">
        <f t="shared" si="40"/>
        <v>52.2</v>
      </c>
      <c r="EJ79" s="190">
        <f t="shared" si="33"/>
        <v>32.1004977</v>
      </c>
      <c r="EK79" s="191">
        <f t="shared" si="41"/>
        <v>0.174459226630435</v>
      </c>
      <c r="EL79" s="192">
        <f t="shared" si="44"/>
        <v>1.9795023</v>
      </c>
      <c r="EM79" s="158" t="str">
        <f t="shared" si="42"/>
        <v>否</v>
      </c>
      <c r="EN79" s="158">
        <f t="shared" si="43"/>
        <v>9.2</v>
      </c>
      <c r="EO79" s="190">
        <f t="shared" si="34"/>
        <v>32.2</v>
      </c>
      <c r="EP79" s="182">
        <f>IF(EE79&lt;299,IF(EE79&lt;99,25,IF(EE79&lt;=149,30,IF(EE79&lt;=299,37,85))),IF(EE79&lt;=498,_xlfn.XLOOKUP(EW79,运费表!A:A,运费表!C:C,"重量超限",-1),_xlfn.XLOOKUP(EW79,运费表!A:A,运费表!D:D,"重量超限",-1)))</f>
        <v>37</v>
      </c>
      <c r="EQ79" s="182">
        <f t="shared" si="35"/>
        <v>19.32</v>
      </c>
      <c r="ER79" s="158">
        <f>_xlfn.XLOOKUP(K79,[4]目录表!$H:$H,[4]目录表!$X:$X)</f>
        <v>0.68</v>
      </c>
      <c r="ES79" s="158">
        <f>_xlfn.XLOOKUP(K79,[4]目录表!$H:$H,[4]目录表!$Y:$Y)</f>
        <v>5.3</v>
      </c>
      <c r="ET79" s="158">
        <f>_xlfn.XLOOKUP(K79,[4]目录表!$H:$H,[4]目录表!$Z:$Z)</f>
        <v>5.3</v>
      </c>
      <c r="EU79" s="158">
        <f>_xlfn.XLOOKUP(K79,[4]目录表!$H:$H,[4]目录表!$AA:$AA)</f>
        <v>9</v>
      </c>
      <c r="EV79" s="158">
        <f t="shared" si="21"/>
        <v>0.050562</v>
      </c>
      <c r="EW79" s="158">
        <f t="shared" si="36"/>
        <v>0.68</v>
      </c>
      <c r="EX79" s="193">
        <f>_xlfn.XLOOKUP(K79,[2]目录表!$H:$H,[2]目录表!$AB:$AB)</f>
        <v>0.00025281</v>
      </c>
      <c r="EZ79" s="194">
        <f t="shared" si="38"/>
        <v>0</v>
      </c>
      <c r="FK79" s="128" t="str">
        <f>_xlfn.XLOOKUP(K79,[2]目录表!$H:$H,[2]目录表!$AJ:$AJ)</f>
        <v>散货</v>
      </c>
    </row>
    <row r="80" customHeight="1" spans="2:167">
      <c r="B80" s="208" t="s">
        <v>508</v>
      </c>
      <c r="C80" s="158">
        <v>15</v>
      </c>
      <c r="D80" s="158">
        <v>51</v>
      </c>
      <c r="E80" s="181" t="e">
        <f>_xlfn.XLOOKUP(K80,[3]工业配件!$AA:$AA,[3]工业配件!$L:$L)</f>
        <v>#N/A</v>
      </c>
      <c r="G80" s="128" t="s">
        <v>509</v>
      </c>
      <c r="H80" s="129" t="s">
        <v>510</v>
      </c>
      <c r="J80" s="203" t="s">
        <v>511</v>
      </c>
      <c r="K80" s="128" t="s">
        <v>512</v>
      </c>
      <c r="M80" s="189" t="s">
        <v>183</v>
      </c>
      <c r="N80" s="131">
        <f>_xlfn.XLOOKUP(L80,数据更新表!J:J,数据更新表!K:K)</f>
        <v>0</v>
      </c>
      <c r="O80" s="131" t="str">
        <f>IFERROR(_xlfn.XLOOKUP(K80,数据更新表!A:A,数据更新表!B:B),"0")</f>
        <v>0</v>
      </c>
      <c r="P80" s="131">
        <f>_xlfn.XLOOKUP(K80,[1]库销表!$F:$F,[1]库销表!$L:$L)</f>
        <v>0</v>
      </c>
      <c r="Q80" s="184" t="e">
        <f t="shared" si="28"/>
        <v>#DIV/0!</v>
      </c>
      <c r="S80" s="128" t="e">
        <f>_xlfn.XLOOKUP(K80,数据更新表!R:R,数据更新表!S:S)</f>
        <v>#N/A</v>
      </c>
      <c r="T80" s="128" t="e">
        <f>_xlfn.XLOOKUP(K80,数据更新表!V:V,数据更新表!W:W)</f>
        <v>#N/A</v>
      </c>
      <c r="V80" s="185" t="str">
        <f t="shared" si="29"/>
        <v>0</v>
      </c>
      <c r="W80" s="158">
        <f t="shared" si="30"/>
        <v>0</v>
      </c>
      <c r="X80" s="158">
        <f t="shared" si="37"/>
        <v>0</v>
      </c>
      <c r="AF80" s="128">
        <f t="shared" si="31"/>
        <v>0</v>
      </c>
      <c r="BR80" s="131"/>
      <c r="BS80" s="131">
        <f>_xlfn.XLOOKUP(K80,[1]库销表!$F:$F,[1]库销表!$L:$L)</f>
        <v>0</v>
      </c>
      <c r="BT80" s="131">
        <f t="shared" si="32"/>
        <v>0</v>
      </c>
      <c r="CW80" s="131">
        <f>_xlfn.XLOOKUP(K80,[1]库销表!$F:$F,[1]库销表!$IE:$IE)</f>
        <v>0</v>
      </c>
      <c r="CX80" s="131">
        <f>_xlfn.XLOOKUP(K80,[1]库销表!$F:$F,[1]库销表!$IF:$IF)</f>
        <v>0</v>
      </c>
      <c r="CY80" s="186">
        <f>_xlfn.XLOOKUP(K80,[1]库销表!$F:$F,[1]库销表!$FL:$FL)</f>
        <v>0</v>
      </c>
      <c r="CZ80" s="131">
        <f>_xlfn.XLOOKUP(K80,数据更新表!E:E,数据更新表!F:F,0)</f>
        <v>0</v>
      </c>
      <c r="DA80" s="131">
        <v>0</v>
      </c>
      <c r="DB80" s="131" t="e">
        <f>_xlfn.XLOOKUP(K80,数据更新表!E:E,数据更新表!G:G)</f>
        <v>#N/A</v>
      </c>
      <c r="DC80" s="187">
        <f>_xlfn.XLOOKUP(L80,数据更新表!Z:Z,数据更新表!AH:AH)</f>
        <v>0</v>
      </c>
      <c r="DD80" s="131">
        <f>_xlfn.XLOOKUP(L80,数据更新表!Z:Z,数据更新表!AE:AE)</f>
        <v>0</v>
      </c>
      <c r="DE80" s="131">
        <f>_xlfn.XLOOKUP(L80,数据更新表!Z:Z,数据更新表!AF:AF)</f>
        <v>0</v>
      </c>
      <c r="DF80" s="131" t="e">
        <f>_xlfn.XLOOKUP(K80,数据更新表!Z:Z,数据更新表!AG:AG)</f>
        <v>#N/A</v>
      </c>
      <c r="DG80" s="128">
        <f>_xlfn.XLOOKUP(L80,数据更新表!Z:Z,数据更新表!AD:AD)</f>
        <v>0</v>
      </c>
      <c r="DH80" s="128">
        <f>_xlfn.XLOOKUP(L80,数据更新表!Z:Z,数据更新表!AA:AA)</f>
        <v>0</v>
      </c>
      <c r="DI80" s="128">
        <f>_xlfn.XLOOKUP(L80,数据更新表!Z:Z,数据更新表!AB:AB)</f>
        <v>0</v>
      </c>
      <c r="DJ80" s="128">
        <f>_xlfn.XLOOKUP(L80,数据更新表!Z:Z,数据更新表!AC:AC)</f>
        <v>0</v>
      </c>
      <c r="DK80" s="133">
        <f>_xlfn.XLOOKUP(L80,数据更新表!Z:Z,数据更新表!AI:AI)</f>
        <v>0</v>
      </c>
      <c r="DL80" s="133">
        <f>_xlfn.XLOOKUP(L80,数据更新表!AL:AL,数据更新表!AM:AM)</f>
        <v>0</v>
      </c>
      <c r="DM80" s="131">
        <f>_xlfn.XLOOKUP(L80,数据更新表!Z:Z,数据更新表!AJ:AJ)</f>
        <v>0</v>
      </c>
      <c r="EE80" s="128">
        <v>149</v>
      </c>
      <c r="EF80" s="128"/>
      <c r="EG80" s="158">
        <v>8.9</v>
      </c>
      <c r="EH80" s="191">
        <f t="shared" si="39"/>
        <v>1.62404759435373</v>
      </c>
      <c r="EI80" s="158">
        <f t="shared" si="40"/>
        <v>23.229</v>
      </c>
      <c r="EJ80" s="190">
        <f t="shared" si="33"/>
        <v>43.21844</v>
      </c>
      <c r="EK80" s="191">
        <f t="shared" si="41"/>
        <v>0.290056644295302</v>
      </c>
      <c r="EL80" s="192">
        <f t="shared" si="44"/>
        <v>3.38256</v>
      </c>
      <c r="EM80" s="158" t="str">
        <f t="shared" si="42"/>
        <v>否</v>
      </c>
      <c r="EN80" s="158">
        <f t="shared" si="43"/>
        <v>7.45</v>
      </c>
      <c r="EO80" s="190">
        <f t="shared" si="34"/>
        <v>26.075</v>
      </c>
      <c r="EP80" s="182">
        <f>IF(EE80&lt;299,IF(EE80&lt;99,25,IF(EE80&lt;=149,30,IF(EE80&lt;=299,37,85))),IF(EE80&lt;=498,_xlfn.XLOOKUP(EW80,运费表!A:A,运费表!C:C,"重量超限",-1),_xlfn.XLOOKUP(EW80,运费表!A:A,运费表!D:D,"重量超限",-1)))</f>
        <v>30</v>
      </c>
      <c r="EQ80" s="182">
        <f t="shared" si="35"/>
        <v>15.645</v>
      </c>
      <c r="ER80" s="158">
        <f>_xlfn.XLOOKUP(K80,[4]目录表!$H:$H,[4]目录表!$X:$X)</f>
        <v>0.156</v>
      </c>
      <c r="ES80" s="158">
        <f>_xlfn.XLOOKUP(K80,[4]目录表!$H:$H,[4]目录表!$Y:$Y)</f>
        <v>12</v>
      </c>
      <c r="ET80" s="158">
        <f>_xlfn.XLOOKUP(K80,[4]目录表!$H:$H,[4]目录表!$Z:$Z)</f>
        <v>8</v>
      </c>
      <c r="EU80" s="158">
        <f>_xlfn.XLOOKUP(K80,[4]目录表!$H:$H,[4]目录表!$AA:$AA)</f>
        <v>4.5</v>
      </c>
      <c r="EV80" s="158">
        <f t="shared" ref="EV80:EV97" si="45">ES80*ET80*EU80/5000</f>
        <v>0.0864</v>
      </c>
      <c r="EW80" s="158">
        <f t="shared" si="36"/>
        <v>0.156</v>
      </c>
      <c r="EX80" s="193">
        <f>_xlfn.XLOOKUP(K80,[2]目录表!$H:$H,[2]目录表!$AB:$AB)</f>
        <v>0.000432</v>
      </c>
      <c r="EZ80" s="194">
        <f t="shared" si="38"/>
        <v>0</v>
      </c>
      <c r="FK80" s="128" t="str">
        <f>_xlfn.XLOOKUP(K80,[2]目录表!$H:$H,[2]目录表!$AJ:$AJ)</f>
        <v>散货</v>
      </c>
    </row>
    <row r="81" customHeight="1" spans="2:167">
      <c r="B81" s="208" t="s">
        <v>513</v>
      </c>
      <c r="C81" s="158">
        <v>13</v>
      </c>
      <c r="D81" s="158">
        <v>98</v>
      </c>
      <c r="E81" s="181" t="e">
        <f>_xlfn.XLOOKUP(K81,[3]工业配件!$AA:$AA,[3]工业配件!$L:$L)</f>
        <v>#N/A</v>
      </c>
      <c r="G81" s="128" t="s">
        <v>514</v>
      </c>
      <c r="H81" s="129" t="s">
        <v>515</v>
      </c>
      <c r="J81" s="203" t="s">
        <v>516</v>
      </c>
      <c r="K81" s="128" t="s">
        <v>517</v>
      </c>
      <c r="M81" s="189" t="s">
        <v>183</v>
      </c>
      <c r="N81" s="131">
        <f>_xlfn.XLOOKUP(L81,数据更新表!J:J,数据更新表!K:K)</f>
        <v>0</v>
      </c>
      <c r="O81" s="131" t="str">
        <f>IFERROR(_xlfn.XLOOKUP(K81,数据更新表!A:A,数据更新表!B:B),"0")</f>
        <v>0</v>
      </c>
      <c r="P81" s="131">
        <f>_xlfn.XLOOKUP(K81,[1]库销表!$F:$F,[1]库销表!$L:$L)</f>
        <v>0</v>
      </c>
      <c r="Q81" s="184" t="e">
        <f t="shared" si="28"/>
        <v>#DIV/0!</v>
      </c>
      <c r="S81" s="128" t="e">
        <f>_xlfn.XLOOKUP(K81,数据更新表!R:R,数据更新表!S:S)</f>
        <v>#N/A</v>
      </c>
      <c r="T81" s="128" t="e">
        <f>_xlfn.XLOOKUP(K81,数据更新表!V:V,数据更新表!W:W)</f>
        <v>#N/A</v>
      </c>
      <c r="V81" s="185" t="str">
        <f t="shared" si="29"/>
        <v>0</v>
      </c>
      <c r="W81" s="158">
        <f t="shared" si="30"/>
        <v>0</v>
      </c>
      <c r="X81" s="158">
        <f t="shared" si="37"/>
        <v>0</v>
      </c>
      <c r="AF81" s="128">
        <f t="shared" si="31"/>
        <v>0</v>
      </c>
      <c r="BR81" s="131"/>
      <c r="BS81" s="131">
        <f>_xlfn.XLOOKUP(K81,[1]库销表!$F:$F,[1]库销表!$L:$L)</f>
        <v>0</v>
      </c>
      <c r="BT81" s="131">
        <f t="shared" si="32"/>
        <v>0</v>
      </c>
      <c r="CW81" s="131">
        <f>_xlfn.XLOOKUP(K81,[1]库销表!$F:$F,[1]库销表!$IE:$IE)</f>
        <v>0</v>
      </c>
      <c r="CX81" s="131">
        <f>_xlfn.XLOOKUP(K81,[1]库销表!$F:$F,[1]库销表!$IF:$IF)</f>
        <v>0</v>
      </c>
      <c r="CY81" s="186">
        <f>_xlfn.XLOOKUP(K81,[1]库销表!$F:$F,[1]库销表!$FL:$FL)</f>
        <v>0</v>
      </c>
      <c r="CZ81" s="131">
        <f>_xlfn.XLOOKUP(K81,数据更新表!E:E,数据更新表!F:F,0)</f>
        <v>0</v>
      </c>
      <c r="DA81" s="131">
        <v>0</v>
      </c>
      <c r="DB81" s="131" t="e">
        <f>_xlfn.XLOOKUP(K81,数据更新表!E:E,数据更新表!G:G)</f>
        <v>#N/A</v>
      </c>
      <c r="DC81" s="187">
        <f>_xlfn.XLOOKUP(L81,数据更新表!Z:Z,数据更新表!AH:AH)</f>
        <v>0</v>
      </c>
      <c r="DD81" s="131">
        <f>_xlfn.XLOOKUP(L81,数据更新表!Z:Z,数据更新表!AE:AE)</f>
        <v>0</v>
      </c>
      <c r="DE81" s="131">
        <f>_xlfn.XLOOKUP(L81,数据更新表!Z:Z,数据更新表!AF:AF)</f>
        <v>0</v>
      </c>
      <c r="DF81" s="131" t="e">
        <f>_xlfn.XLOOKUP(K81,数据更新表!Z:Z,数据更新表!AG:AG)</f>
        <v>#N/A</v>
      </c>
      <c r="DG81" s="128">
        <f>_xlfn.XLOOKUP(L81,数据更新表!Z:Z,数据更新表!AD:AD)</f>
        <v>0</v>
      </c>
      <c r="DH81" s="128">
        <f>_xlfn.XLOOKUP(L81,数据更新表!Z:Z,数据更新表!AA:AA)</f>
        <v>0</v>
      </c>
      <c r="DI81" s="128">
        <f>_xlfn.XLOOKUP(L81,数据更新表!Z:Z,数据更新表!AB:AB)</f>
        <v>0</v>
      </c>
      <c r="DJ81" s="128">
        <f>_xlfn.XLOOKUP(L81,数据更新表!Z:Z,数据更新表!AC:AC)</f>
        <v>0</v>
      </c>
      <c r="DK81" s="133">
        <f>_xlfn.XLOOKUP(L81,数据更新表!Z:Z,数据更新表!AI:AI)</f>
        <v>0</v>
      </c>
      <c r="DL81" s="133">
        <f>_xlfn.XLOOKUP(L81,数据更新表!AL:AL,数据更新表!AM:AM)</f>
        <v>0</v>
      </c>
      <c r="DM81" s="131">
        <f>_xlfn.XLOOKUP(L81,数据更新表!Z:Z,数据更新表!AJ:AJ)</f>
        <v>0</v>
      </c>
      <c r="EE81" s="128">
        <v>96</v>
      </c>
      <c r="EF81" s="128"/>
      <c r="EG81" s="158">
        <v>3.3</v>
      </c>
      <c r="EH81" s="191">
        <f t="shared" si="39"/>
        <v>2.84069702985771</v>
      </c>
      <c r="EI81" s="158">
        <f t="shared" si="40"/>
        <v>8.613</v>
      </c>
      <c r="EJ81" s="190">
        <f t="shared" si="33"/>
        <v>29.082275</v>
      </c>
      <c r="EK81" s="191">
        <f t="shared" si="41"/>
        <v>0.302940364583333</v>
      </c>
      <c r="EL81" s="192">
        <f t="shared" si="44"/>
        <v>1.624725</v>
      </c>
      <c r="EM81" s="158" t="str">
        <f t="shared" si="42"/>
        <v>否</v>
      </c>
      <c r="EN81" s="158">
        <f t="shared" si="43"/>
        <v>4.8</v>
      </c>
      <c r="EO81" s="190">
        <f t="shared" si="34"/>
        <v>16.8</v>
      </c>
      <c r="EP81" s="182">
        <f>IF(EE81&lt;299,IF(EE81&lt;99,25,IF(EE81&lt;=149,30,IF(EE81&lt;=299,37,85))),IF(EE81&lt;=498,_xlfn.XLOOKUP(EW81,运费表!A:A,运费表!C:C,"重量超限",-1),_xlfn.XLOOKUP(EW81,运费表!A:A,运费表!D:D,"重量超限",-1)))</f>
        <v>25</v>
      </c>
      <c r="EQ81" s="182">
        <f t="shared" si="35"/>
        <v>10.08</v>
      </c>
      <c r="ER81" s="158">
        <f>_xlfn.XLOOKUP(K81,[4]目录表!$H:$H,[4]目录表!$X:$X)</f>
        <v>0.3</v>
      </c>
      <c r="ES81" s="158">
        <f>_xlfn.XLOOKUP(K81,[4]目录表!$H:$H,[4]目录表!$Y:$Y)</f>
        <v>8.3</v>
      </c>
      <c r="ET81" s="158">
        <f>_xlfn.XLOOKUP(K81,[4]目录表!$H:$H,[4]目录表!$Z:$Z)</f>
        <v>5</v>
      </c>
      <c r="EU81" s="158">
        <f>_xlfn.XLOOKUP(K81,[4]目录表!$H:$H,[4]目录表!$AA:$AA)</f>
        <v>5</v>
      </c>
      <c r="EV81" s="158">
        <f t="shared" si="45"/>
        <v>0.0415</v>
      </c>
      <c r="EW81" s="158">
        <f t="shared" si="36"/>
        <v>0.3</v>
      </c>
      <c r="EX81" s="193">
        <f>_xlfn.XLOOKUP(K81,[2]目录表!$H:$H,[2]目录表!$AB:$AB)</f>
        <v>0.0002075</v>
      </c>
      <c r="EZ81" s="194">
        <f t="shared" si="38"/>
        <v>0</v>
      </c>
      <c r="FK81" s="128" t="str">
        <f>_xlfn.XLOOKUP(K81,[2]目录表!$H:$H,[2]目录表!$AJ:$AJ)</f>
        <v>散货</v>
      </c>
    </row>
    <row r="82" customHeight="1" spans="2:167">
      <c r="B82" s="208" t="s">
        <v>518</v>
      </c>
      <c r="C82" s="158">
        <v>11</v>
      </c>
      <c r="D82" s="158">
        <v>47</v>
      </c>
      <c r="E82" s="181" t="e">
        <f>_xlfn.XLOOKUP(K82,[3]工业配件!$AA:$AA,[3]工业配件!$L:$L)</f>
        <v>#N/A</v>
      </c>
      <c r="G82" s="128" t="s">
        <v>519</v>
      </c>
      <c r="H82" s="129" t="s">
        <v>520</v>
      </c>
      <c r="J82" s="203" t="s">
        <v>521</v>
      </c>
      <c r="K82" s="128" t="s">
        <v>522</v>
      </c>
      <c r="M82" s="189" t="s">
        <v>183</v>
      </c>
      <c r="N82" s="131">
        <f>_xlfn.XLOOKUP(L82,数据更新表!J:J,数据更新表!K:K)</f>
        <v>0</v>
      </c>
      <c r="O82" s="131" t="str">
        <f>IFERROR(_xlfn.XLOOKUP(K82,数据更新表!A:A,数据更新表!B:B),"0")</f>
        <v>0</v>
      </c>
      <c r="P82" s="131">
        <f>_xlfn.XLOOKUP(K82,[1]库销表!$F:$F,[1]库销表!$L:$L)</f>
        <v>0</v>
      </c>
      <c r="Q82" s="184" t="e">
        <f t="shared" si="28"/>
        <v>#DIV/0!</v>
      </c>
      <c r="S82" s="128" t="e">
        <f>_xlfn.XLOOKUP(K82,数据更新表!R:R,数据更新表!S:S)</f>
        <v>#N/A</v>
      </c>
      <c r="T82" s="128" t="e">
        <f>_xlfn.XLOOKUP(K82,数据更新表!V:V,数据更新表!W:W)</f>
        <v>#N/A</v>
      </c>
      <c r="V82" s="185" t="str">
        <f t="shared" si="29"/>
        <v>0</v>
      </c>
      <c r="W82" s="158">
        <f t="shared" si="30"/>
        <v>0</v>
      </c>
      <c r="X82" s="158">
        <f t="shared" si="37"/>
        <v>0</v>
      </c>
      <c r="AF82" s="128">
        <f t="shared" si="31"/>
        <v>0</v>
      </c>
      <c r="BR82" s="131"/>
      <c r="BS82" s="131">
        <f>_xlfn.XLOOKUP(K82,[1]库销表!$F:$F,[1]库销表!$L:$L)</f>
        <v>0</v>
      </c>
      <c r="BT82" s="131">
        <f t="shared" si="32"/>
        <v>0</v>
      </c>
      <c r="CW82" s="131">
        <f>_xlfn.XLOOKUP(K82,[1]库销表!$F:$F,[1]库销表!$IE:$IE)</f>
        <v>0</v>
      </c>
      <c r="CX82" s="131">
        <f>_xlfn.XLOOKUP(K82,[1]库销表!$F:$F,[1]库销表!$IF:$IF)</f>
        <v>0</v>
      </c>
      <c r="CY82" s="186">
        <f>_xlfn.XLOOKUP(K82,[1]库销表!$F:$F,[1]库销表!$FL:$FL)</f>
        <v>0</v>
      </c>
      <c r="CZ82" s="131">
        <f>_xlfn.XLOOKUP(K82,数据更新表!E:E,数据更新表!F:F,0)</f>
        <v>0</v>
      </c>
      <c r="DA82" s="131">
        <v>0</v>
      </c>
      <c r="DB82" s="131" t="e">
        <f>_xlfn.XLOOKUP(K82,数据更新表!E:E,数据更新表!G:G)</f>
        <v>#N/A</v>
      </c>
      <c r="DC82" s="187">
        <f>_xlfn.XLOOKUP(L82,数据更新表!Z:Z,数据更新表!AH:AH)</f>
        <v>0</v>
      </c>
      <c r="DD82" s="131">
        <f>_xlfn.XLOOKUP(L82,数据更新表!Z:Z,数据更新表!AE:AE)</f>
        <v>0</v>
      </c>
      <c r="DE82" s="131">
        <f>_xlfn.XLOOKUP(L82,数据更新表!Z:Z,数据更新表!AF:AF)</f>
        <v>0</v>
      </c>
      <c r="DF82" s="131" t="e">
        <f>_xlfn.XLOOKUP(K82,数据更新表!Z:Z,数据更新表!AG:AG)</f>
        <v>#N/A</v>
      </c>
      <c r="DG82" s="128">
        <f>_xlfn.XLOOKUP(L82,数据更新表!Z:Z,数据更新表!AD:AD)</f>
        <v>0</v>
      </c>
      <c r="DH82" s="128">
        <f>_xlfn.XLOOKUP(L82,数据更新表!Z:Z,数据更新表!AA:AA)</f>
        <v>0</v>
      </c>
      <c r="DI82" s="128">
        <f>_xlfn.XLOOKUP(L82,数据更新表!Z:Z,数据更新表!AB:AB)</f>
        <v>0</v>
      </c>
      <c r="DJ82" s="128">
        <f>_xlfn.XLOOKUP(L82,数据更新表!Z:Z,数据更新表!AC:AC)</f>
        <v>0</v>
      </c>
      <c r="DK82" s="133">
        <f>_xlfn.XLOOKUP(L82,数据更新表!Z:Z,数据更新表!AI:AI)</f>
        <v>0</v>
      </c>
      <c r="DL82" s="133">
        <f>_xlfn.XLOOKUP(L82,数据更新表!AL:AL,数据更新表!AM:AM)</f>
        <v>0</v>
      </c>
      <c r="DM82" s="131">
        <f>_xlfn.XLOOKUP(L82,数据更新表!Z:Z,数据更新表!AJ:AJ)</f>
        <v>0</v>
      </c>
      <c r="EE82" s="128">
        <v>150</v>
      </c>
      <c r="EF82" s="128"/>
      <c r="EG82" s="158">
        <v>6.5</v>
      </c>
      <c r="EH82" s="191">
        <f t="shared" si="39"/>
        <v>2.68852363791825</v>
      </c>
      <c r="EI82" s="158">
        <f t="shared" si="40"/>
        <v>16.965</v>
      </c>
      <c r="EJ82" s="190">
        <f t="shared" si="33"/>
        <v>46.28444</v>
      </c>
      <c r="EK82" s="191">
        <f t="shared" si="41"/>
        <v>0.308562933333333</v>
      </c>
      <c r="EL82" s="190">
        <f t="shared" si="44"/>
        <v>0.25056</v>
      </c>
      <c r="EM82" s="158" t="str">
        <f t="shared" si="42"/>
        <v>否</v>
      </c>
      <c r="EN82" s="158">
        <f t="shared" si="43"/>
        <v>7.5</v>
      </c>
      <c r="EO82" s="190">
        <f t="shared" si="34"/>
        <v>26.25</v>
      </c>
      <c r="EP82" s="182">
        <f>IF(EE82&lt;299,IF(EE82&lt;99,25,IF(EE82&lt;=149,30,IF(EE82&lt;=299,37,85))),IF(EE82&lt;=498,_xlfn.XLOOKUP(EW82,运费表!A:A,运费表!C:C,"重量超限",-1),_xlfn.XLOOKUP(EW82,运费表!A:A,运费表!D:D,"重量超限",-1)))</f>
        <v>37</v>
      </c>
      <c r="EQ82" s="182">
        <f t="shared" si="35"/>
        <v>15.75</v>
      </c>
      <c r="ER82" s="158">
        <f>_xlfn.XLOOKUP(K82,[4]目录表!$H:$H,[4]目录表!$X:$X)</f>
        <v>0.3</v>
      </c>
      <c r="ES82" s="158">
        <f>_xlfn.XLOOKUP(K82,[4]目录表!$H:$H,[4]目录表!$Y:$Y)</f>
        <v>8</v>
      </c>
      <c r="ET82" s="158">
        <f>_xlfn.XLOOKUP(K82,[4]目录表!$H:$H,[4]目录表!$Z:$Z)</f>
        <v>2</v>
      </c>
      <c r="EU82" s="158">
        <f>_xlfn.XLOOKUP(K82,[4]目录表!$H:$H,[4]目录表!$AA:$AA)</f>
        <v>2</v>
      </c>
      <c r="EV82" s="158">
        <f t="shared" si="45"/>
        <v>0.0064</v>
      </c>
      <c r="EW82" s="158">
        <f t="shared" si="36"/>
        <v>0.3</v>
      </c>
      <c r="EX82" s="193">
        <f>_xlfn.XLOOKUP(K82,[2]目录表!$H:$H,[2]目录表!$AB:$AB)</f>
        <v>3.2e-5</v>
      </c>
      <c r="EZ82" s="194">
        <f t="shared" si="38"/>
        <v>0</v>
      </c>
      <c r="FK82" s="128" t="str">
        <f>_xlfn.XLOOKUP(K82,[2]目录表!$H:$H,[2]目录表!$AJ:$AJ)</f>
        <v>散货</v>
      </c>
    </row>
    <row r="83" customHeight="1" spans="2:167">
      <c r="B83" s="208" t="s">
        <v>523</v>
      </c>
      <c r="C83" s="158">
        <v>20</v>
      </c>
      <c r="D83" s="158">
        <v>67</v>
      </c>
      <c r="E83" s="181">
        <v>46038</v>
      </c>
      <c r="G83" s="128" t="s">
        <v>524</v>
      </c>
      <c r="H83" s="129" t="s">
        <v>525</v>
      </c>
      <c r="J83" s="203" t="s">
        <v>526</v>
      </c>
      <c r="K83" s="128" t="s">
        <v>527</v>
      </c>
      <c r="M83" s="189" t="s">
        <v>183</v>
      </c>
      <c r="N83" s="131">
        <f>_xlfn.XLOOKUP(L83,数据更新表!J:J,数据更新表!K:K)</f>
        <v>0</v>
      </c>
      <c r="O83" s="131" t="str">
        <f>IFERROR(_xlfn.XLOOKUP(K83,数据更新表!A:A,数据更新表!B:B),"0")</f>
        <v>0</v>
      </c>
      <c r="P83" s="131">
        <f>_xlfn.XLOOKUP(K83,[1]库销表!$F:$F,[1]库销表!$L:$L)</f>
        <v>0</v>
      </c>
      <c r="Q83" s="184" t="e">
        <f t="shared" si="28"/>
        <v>#DIV/0!</v>
      </c>
      <c r="S83" s="128" t="e">
        <f>_xlfn.XLOOKUP(K83,数据更新表!R:R,数据更新表!S:S)</f>
        <v>#N/A</v>
      </c>
      <c r="T83" s="128" t="e">
        <f>_xlfn.XLOOKUP(K83,数据更新表!V:V,数据更新表!W:W)</f>
        <v>#N/A</v>
      </c>
      <c r="V83" s="185" t="str">
        <f t="shared" si="29"/>
        <v>0</v>
      </c>
      <c r="W83" s="158">
        <f t="shared" si="30"/>
        <v>0</v>
      </c>
      <c r="X83" s="158">
        <f t="shared" si="37"/>
        <v>0</v>
      </c>
      <c r="AF83" s="128">
        <f t="shared" si="31"/>
        <v>0</v>
      </c>
      <c r="BR83" s="131"/>
      <c r="BS83" s="131">
        <f>_xlfn.XLOOKUP(K83,[1]库销表!$F:$F,[1]库销表!$L:$L)</f>
        <v>0</v>
      </c>
      <c r="BT83" s="131">
        <f t="shared" si="32"/>
        <v>0</v>
      </c>
      <c r="CW83" s="131">
        <f>_xlfn.XLOOKUP(K83,[1]库销表!$F:$F,[1]库销表!$IE:$IE)</f>
        <v>0</v>
      </c>
      <c r="CX83" s="131">
        <f>_xlfn.XLOOKUP(K83,[1]库销表!$F:$F,[1]库销表!$IF:$IF)</f>
        <v>0</v>
      </c>
      <c r="CY83" s="186">
        <f>_xlfn.XLOOKUP(K83,[1]库销表!$F:$F,[1]库销表!$FL:$FL)</f>
        <v>0</v>
      </c>
      <c r="CZ83" s="131">
        <f>_xlfn.XLOOKUP(K83,数据更新表!E:E,数据更新表!F:F,0)</f>
        <v>0</v>
      </c>
      <c r="DA83" s="131">
        <v>0</v>
      </c>
      <c r="DB83" s="131" t="e">
        <f>_xlfn.XLOOKUP(K83,数据更新表!E:E,数据更新表!G:G)</f>
        <v>#N/A</v>
      </c>
      <c r="DC83" s="187">
        <f>_xlfn.XLOOKUP(L83,数据更新表!Z:Z,数据更新表!AH:AH)</f>
        <v>0</v>
      </c>
      <c r="DD83" s="131">
        <f>_xlfn.XLOOKUP(L83,数据更新表!Z:Z,数据更新表!AE:AE)</f>
        <v>0</v>
      </c>
      <c r="DE83" s="131">
        <f>_xlfn.XLOOKUP(L83,数据更新表!Z:Z,数据更新表!AF:AF)</f>
        <v>0</v>
      </c>
      <c r="DF83" s="131" t="e">
        <f>_xlfn.XLOOKUP(K83,数据更新表!Z:Z,数据更新表!AG:AG)</f>
        <v>#N/A</v>
      </c>
      <c r="DG83" s="128">
        <f>_xlfn.XLOOKUP(L83,数据更新表!Z:Z,数据更新表!AD:AD)</f>
        <v>0</v>
      </c>
      <c r="DH83" s="128">
        <f>_xlfn.XLOOKUP(L83,数据更新表!Z:Z,数据更新表!AA:AA)</f>
        <v>0</v>
      </c>
      <c r="DI83" s="128">
        <f>_xlfn.XLOOKUP(L83,数据更新表!Z:Z,数据更新表!AB:AB)</f>
        <v>0</v>
      </c>
      <c r="DJ83" s="128">
        <f>_xlfn.XLOOKUP(L83,数据更新表!Z:Z,数据更新表!AC:AC)</f>
        <v>0</v>
      </c>
      <c r="DK83" s="133">
        <f>_xlfn.XLOOKUP(L83,数据更新表!Z:Z,数据更新表!AI:AI)</f>
        <v>0</v>
      </c>
      <c r="DL83" s="133">
        <f>_xlfn.XLOOKUP(L83,数据更新表!AL:AL,数据更新表!AM:AM)</f>
        <v>0</v>
      </c>
      <c r="DM83" s="131">
        <f>_xlfn.XLOOKUP(L83,数据更新表!Z:Z,数据更新表!AJ:AJ)</f>
        <v>0</v>
      </c>
      <c r="EE83" s="128">
        <v>359</v>
      </c>
      <c r="EF83" s="128"/>
      <c r="EG83" s="158">
        <v>27</v>
      </c>
      <c r="EH83" s="191">
        <f t="shared" si="39"/>
        <v>1.41994417191549</v>
      </c>
      <c r="EI83" s="158">
        <f t="shared" si="40"/>
        <v>70.47</v>
      </c>
      <c r="EJ83" s="190">
        <f t="shared" si="33"/>
        <v>108.27617475</v>
      </c>
      <c r="EK83" s="191">
        <f t="shared" si="41"/>
        <v>0.301604943593315</v>
      </c>
      <c r="EL83" s="190">
        <f t="shared" si="44"/>
        <v>5.78382525</v>
      </c>
      <c r="EM83" s="158" t="str">
        <f t="shared" si="42"/>
        <v>是</v>
      </c>
      <c r="EN83" s="158">
        <f t="shared" si="43"/>
        <v>17.95</v>
      </c>
      <c r="EO83" s="190">
        <f t="shared" si="34"/>
        <v>62.825</v>
      </c>
      <c r="EP83" s="182">
        <f>IF(EE83&lt;299,IF(EE83&lt;99,25,IF(EE83&lt;=149,30,IF(EE83&lt;=299,37,85))),IF(EE83&lt;=498,_xlfn.XLOOKUP(EW83,运费表!A:A,运费表!C:C,"重量超限",-1),_xlfn.XLOOKUP(EW83,运费表!A:A,运费表!D:D,"重量超限",-1)))</f>
        <v>56</v>
      </c>
      <c r="EQ83" s="182">
        <f t="shared" si="35"/>
        <v>37.695</v>
      </c>
      <c r="ER83" s="158">
        <f>_xlfn.XLOOKUP(K83,[4]目录表!$H:$H,[4]目录表!$X:$X)</f>
        <v>0.355</v>
      </c>
      <c r="ES83" s="158">
        <f>_xlfn.XLOOKUP(K83,[4]目录表!$H:$H,[4]目录表!$Y:$Y)</f>
        <v>24.5</v>
      </c>
      <c r="ET83" s="158">
        <f>_xlfn.XLOOKUP(K83,[4]目录表!$H:$H,[4]目录表!$Z:$Z)</f>
        <v>4.5</v>
      </c>
      <c r="EU83" s="158">
        <f>_xlfn.XLOOKUP(K83,[4]目录表!$H:$H,[4]目录表!$AA:$AA)</f>
        <v>6.7</v>
      </c>
      <c r="EV83" s="158">
        <f t="shared" si="45"/>
        <v>0.147735</v>
      </c>
      <c r="EW83" s="158">
        <f t="shared" si="36"/>
        <v>0.355</v>
      </c>
      <c r="EX83" s="193">
        <f>_xlfn.XLOOKUP(K83,[2]目录表!$H:$H,[2]目录表!$AB:$AB)</f>
        <v>0.000738675</v>
      </c>
      <c r="EZ83" s="194">
        <f t="shared" si="38"/>
        <v>0</v>
      </c>
      <c r="FK83" s="128" t="str">
        <f>_xlfn.XLOOKUP(K83,[2]目录表!$H:$H,[2]目录表!$AJ:$AJ)</f>
        <v>散货</v>
      </c>
    </row>
    <row r="84" customHeight="1" spans="2:167">
      <c r="B84" s="208" t="s">
        <v>528</v>
      </c>
      <c r="C84" s="158">
        <v>10</v>
      </c>
      <c r="D84" s="158">
        <v>74</v>
      </c>
      <c r="E84" s="181">
        <v>46044</v>
      </c>
      <c r="G84" s="128" t="s">
        <v>524</v>
      </c>
      <c r="H84" s="129" t="s">
        <v>529</v>
      </c>
      <c r="J84" s="203" t="s">
        <v>530</v>
      </c>
      <c r="K84" s="128" t="s">
        <v>531</v>
      </c>
      <c r="M84" s="189" t="s">
        <v>183</v>
      </c>
      <c r="N84" s="131">
        <f>_xlfn.XLOOKUP(L84,数据更新表!J:J,数据更新表!K:K)</f>
        <v>0</v>
      </c>
      <c r="O84" s="131" t="str">
        <f>IFERROR(_xlfn.XLOOKUP(K84,数据更新表!A:A,数据更新表!B:B),"0")</f>
        <v>0</v>
      </c>
      <c r="P84" s="131">
        <f>_xlfn.XLOOKUP(K84,[1]库销表!$F:$F,[1]库销表!$L:$L)</f>
        <v>0</v>
      </c>
      <c r="Q84" s="184" t="e">
        <f t="shared" si="28"/>
        <v>#DIV/0!</v>
      </c>
      <c r="S84" s="128" t="e">
        <f>_xlfn.XLOOKUP(K84,数据更新表!R:R,数据更新表!S:S)</f>
        <v>#N/A</v>
      </c>
      <c r="T84" s="128" t="e">
        <f>_xlfn.XLOOKUP(K84,数据更新表!V:V,数据更新表!W:W)</f>
        <v>#N/A</v>
      </c>
      <c r="V84" s="185" t="str">
        <f t="shared" si="29"/>
        <v>0</v>
      </c>
      <c r="W84" s="158">
        <f t="shared" si="30"/>
        <v>0</v>
      </c>
      <c r="X84" s="158">
        <f t="shared" si="37"/>
        <v>0</v>
      </c>
      <c r="AF84" s="128">
        <f t="shared" si="31"/>
        <v>0</v>
      </c>
      <c r="BR84" s="131"/>
      <c r="BS84" s="131">
        <f>_xlfn.XLOOKUP(K84,[1]库销表!$F:$F,[1]库销表!$L:$L)</f>
        <v>0</v>
      </c>
      <c r="BT84" s="131">
        <f t="shared" si="32"/>
        <v>0</v>
      </c>
      <c r="CW84" s="131">
        <f>_xlfn.XLOOKUP(K84,[1]库销表!$F:$F,[1]库销表!$IE:$IE)</f>
        <v>0</v>
      </c>
      <c r="CX84" s="131">
        <f>_xlfn.XLOOKUP(K84,[1]库销表!$F:$F,[1]库销表!$IF:$IF)</f>
        <v>0</v>
      </c>
      <c r="CY84" s="186">
        <f>_xlfn.XLOOKUP(K84,[1]库销表!$F:$F,[1]库销表!$FL:$FL)</f>
        <v>0</v>
      </c>
      <c r="CZ84" s="131">
        <f>_xlfn.XLOOKUP(K84,数据更新表!E:E,数据更新表!F:F,0)</f>
        <v>0</v>
      </c>
      <c r="DA84" s="131">
        <v>0</v>
      </c>
      <c r="DB84" s="131" t="e">
        <f>_xlfn.XLOOKUP(K84,数据更新表!E:E,数据更新表!G:G)</f>
        <v>#N/A</v>
      </c>
      <c r="DC84" s="187">
        <f>_xlfn.XLOOKUP(L84,数据更新表!Z:Z,数据更新表!AH:AH)</f>
        <v>0</v>
      </c>
      <c r="DD84" s="131">
        <f>_xlfn.XLOOKUP(L84,数据更新表!Z:Z,数据更新表!AE:AE)</f>
        <v>0</v>
      </c>
      <c r="DE84" s="131">
        <f>_xlfn.XLOOKUP(L84,数据更新表!Z:Z,数据更新表!AF:AF)</f>
        <v>0</v>
      </c>
      <c r="DF84" s="131" t="e">
        <f>_xlfn.XLOOKUP(K84,数据更新表!Z:Z,数据更新表!AG:AG)</f>
        <v>#N/A</v>
      </c>
      <c r="DG84" s="128">
        <f>_xlfn.XLOOKUP(L84,数据更新表!Z:Z,数据更新表!AD:AD)</f>
        <v>0</v>
      </c>
      <c r="DH84" s="128">
        <f>_xlfn.XLOOKUP(L84,数据更新表!Z:Z,数据更新表!AA:AA)</f>
        <v>0</v>
      </c>
      <c r="DI84" s="128">
        <f>_xlfn.XLOOKUP(L84,数据更新表!Z:Z,数据更新表!AB:AB)</f>
        <v>0</v>
      </c>
      <c r="DJ84" s="128">
        <f>_xlfn.XLOOKUP(L84,数据更新表!Z:Z,数据更新表!AC:AC)</f>
        <v>0</v>
      </c>
      <c r="DK84" s="133">
        <f>_xlfn.XLOOKUP(L84,数据更新表!Z:Z,数据更新表!AI:AI)</f>
        <v>0</v>
      </c>
      <c r="DL84" s="133">
        <f>_xlfn.XLOOKUP(L84,数据更新表!AL:AL,数据更新表!AM:AM)</f>
        <v>0</v>
      </c>
      <c r="DM84" s="131">
        <f>_xlfn.XLOOKUP(L84,数据更新表!Z:Z,数据更新表!AJ:AJ)</f>
        <v>0</v>
      </c>
      <c r="EE84" s="128">
        <v>340</v>
      </c>
      <c r="EF84" s="128"/>
      <c r="EG84" s="158">
        <v>37</v>
      </c>
      <c r="EH84" s="191">
        <f t="shared" si="39"/>
        <v>0.676269603475401</v>
      </c>
      <c r="EI84" s="158">
        <f t="shared" si="40"/>
        <v>96.57</v>
      </c>
      <c r="EJ84" s="190">
        <f t="shared" si="33"/>
        <v>69.31052</v>
      </c>
      <c r="EK84" s="191">
        <f t="shared" si="41"/>
        <v>0.203854470588235</v>
      </c>
      <c r="EL84" s="190">
        <f t="shared" si="44"/>
        <v>5.91948</v>
      </c>
      <c r="EM84" s="158" t="str">
        <f t="shared" si="42"/>
        <v>是</v>
      </c>
      <c r="EN84" s="158">
        <f t="shared" si="43"/>
        <v>17</v>
      </c>
      <c r="EO84" s="190">
        <f t="shared" si="34"/>
        <v>59.5</v>
      </c>
      <c r="EP84" s="182">
        <f>IF(EE84&lt;299,IF(EE84&lt;99,25,IF(EE84&lt;=149,30,IF(EE84&lt;=299,37,85))),IF(EE84&lt;=498,_xlfn.XLOOKUP(EW84,运费表!A:A,运费表!C:C,"重量超限",-1),_xlfn.XLOOKUP(EW84,运费表!A:A,运费表!D:D,"重量超限",-1)))</f>
        <v>56</v>
      </c>
      <c r="EQ84" s="182">
        <f t="shared" si="35"/>
        <v>35.7</v>
      </c>
      <c r="ER84" s="158">
        <f>_xlfn.XLOOKUP(K84,[4]目录表!$H:$H,[4]目录表!$X:$X)</f>
        <v>0.39</v>
      </c>
      <c r="ES84" s="158">
        <f>_xlfn.XLOOKUP(K84,[4]目录表!$H:$H,[4]目录表!$Y:$Y)</f>
        <v>18</v>
      </c>
      <c r="ET84" s="158">
        <f>_xlfn.XLOOKUP(K84,[4]目录表!$H:$H,[4]目录表!$Z:$Z)</f>
        <v>7</v>
      </c>
      <c r="EU84" s="158">
        <f>_xlfn.XLOOKUP(K84,[4]目录表!$H:$H,[4]目录表!$AA:$AA)</f>
        <v>6</v>
      </c>
      <c r="EV84" s="158">
        <f t="shared" si="45"/>
        <v>0.1512</v>
      </c>
      <c r="EW84" s="158">
        <f t="shared" si="36"/>
        <v>0.39</v>
      </c>
      <c r="EX84" s="193">
        <f>_xlfn.XLOOKUP(K84,[2]目录表!$H:$H,[2]目录表!$AB:$AB)</f>
        <v>0.000756</v>
      </c>
      <c r="EZ84" s="194">
        <f t="shared" si="38"/>
        <v>0</v>
      </c>
      <c r="FK84" s="128" t="str">
        <f>_xlfn.XLOOKUP(K84,[2]目录表!$H:$H,[2]目录表!$AJ:$AJ)</f>
        <v>散货</v>
      </c>
    </row>
    <row r="85" customHeight="1" spans="2:167">
      <c r="B85" s="208" t="s">
        <v>532</v>
      </c>
      <c r="C85" s="158">
        <v>10</v>
      </c>
      <c r="D85" s="158">
        <v>104</v>
      </c>
      <c r="E85" s="181">
        <v>46037</v>
      </c>
      <c r="G85" s="128" t="s">
        <v>524</v>
      </c>
      <c r="H85" s="129" t="s">
        <v>533</v>
      </c>
      <c r="J85" s="203" t="s">
        <v>534</v>
      </c>
      <c r="K85" s="128" t="s">
        <v>535</v>
      </c>
      <c r="M85" s="189" t="s">
        <v>183</v>
      </c>
      <c r="N85" s="131">
        <f>_xlfn.XLOOKUP(L85,数据更新表!J:J,数据更新表!K:K)</f>
        <v>0</v>
      </c>
      <c r="O85" s="131" t="str">
        <f>IFERROR(_xlfn.XLOOKUP(K85,数据更新表!A:A,数据更新表!B:B),"0")</f>
        <v>0</v>
      </c>
      <c r="P85" s="131">
        <f>_xlfn.XLOOKUP(K85,[1]库销表!$F:$F,[1]库销表!$L:$L)</f>
        <v>0</v>
      </c>
      <c r="Q85" s="184" t="e">
        <f t="shared" si="28"/>
        <v>#DIV/0!</v>
      </c>
      <c r="S85" s="128" t="e">
        <f>_xlfn.XLOOKUP(K85,数据更新表!R:R,数据更新表!S:S)</f>
        <v>#N/A</v>
      </c>
      <c r="T85" s="128" t="e">
        <f>_xlfn.XLOOKUP(K85,数据更新表!V:V,数据更新表!W:W)</f>
        <v>#N/A</v>
      </c>
      <c r="V85" s="185" t="str">
        <f t="shared" si="29"/>
        <v>0</v>
      </c>
      <c r="W85" s="158">
        <f t="shared" si="30"/>
        <v>0</v>
      </c>
      <c r="X85" s="158">
        <f t="shared" si="37"/>
        <v>0</v>
      </c>
      <c r="AF85" s="128">
        <f t="shared" si="31"/>
        <v>0</v>
      </c>
      <c r="BR85" s="131"/>
      <c r="BS85" s="131">
        <f>_xlfn.XLOOKUP(K85,[1]库销表!$F:$F,[1]库销表!$L:$L)</f>
        <v>0</v>
      </c>
      <c r="BT85" s="131">
        <f t="shared" si="32"/>
        <v>0</v>
      </c>
      <c r="CW85" s="131">
        <f>_xlfn.XLOOKUP(K85,[1]库销表!$F:$F,[1]库销表!$IE:$IE)</f>
        <v>0</v>
      </c>
      <c r="CX85" s="131">
        <f>_xlfn.XLOOKUP(K85,[1]库销表!$F:$F,[1]库销表!$IF:$IF)</f>
        <v>0</v>
      </c>
      <c r="CY85" s="186">
        <f>_xlfn.XLOOKUP(K85,[1]库销表!$F:$F,[1]库销表!$FL:$FL)</f>
        <v>0</v>
      </c>
      <c r="CZ85" s="131">
        <f>_xlfn.XLOOKUP(K85,数据更新表!E:E,数据更新表!F:F,0)</f>
        <v>0</v>
      </c>
      <c r="DA85" s="131">
        <v>0</v>
      </c>
      <c r="DB85" s="131" t="e">
        <f>_xlfn.XLOOKUP(K85,数据更新表!E:E,数据更新表!G:G)</f>
        <v>#N/A</v>
      </c>
      <c r="DC85" s="187">
        <f>_xlfn.XLOOKUP(L85,数据更新表!Z:Z,数据更新表!AH:AH)</f>
        <v>0</v>
      </c>
      <c r="DD85" s="131">
        <f>_xlfn.XLOOKUP(L85,数据更新表!Z:Z,数据更新表!AE:AE)</f>
        <v>0</v>
      </c>
      <c r="DE85" s="131">
        <f>_xlfn.XLOOKUP(L85,数据更新表!Z:Z,数据更新表!AF:AF)</f>
        <v>0</v>
      </c>
      <c r="DF85" s="131" t="e">
        <f>_xlfn.XLOOKUP(K85,数据更新表!Z:Z,数据更新表!AG:AG)</f>
        <v>#N/A</v>
      </c>
      <c r="DG85" s="128">
        <f>_xlfn.XLOOKUP(L85,数据更新表!Z:Z,数据更新表!AD:AD)</f>
        <v>0</v>
      </c>
      <c r="DH85" s="128">
        <f>_xlfn.XLOOKUP(L85,数据更新表!Z:Z,数据更新表!AA:AA)</f>
        <v>0</v>
      </c>
      <c r="DI85" s="128">
        <f>_xlfn.XLOOKUP(L85,数据更新表!Z:Z,数据更新表!AB:AB)</f>
        <v>0</v>
      </c>
      <c r="DJ85" s="128">
        <f>_xlfn.XLOOKUP(L85,数据更新表!Z:Z,数据更新表!AC:AC)</f>
        <v>0</v>
      </c>
      <c r="DK85" s="133">
        <f>_xlfn.XLOOKUP(L85,数据更新表!Z:Z,数据更新表!AI:AI)</f>
        <v>0</v>
      </c>
      <c r="DL85" s="133">
        <f>_xlfn.XLOOKUP(L85,数据更新表!AL:AL,数据更新表!AM:AM)</f>
        <v>0</v>
      </c>
      <c r="DM85" s="131">
        <f>_xlfn.XLOOKUP(L85,数据更新表!Z:Z,数据更新表!AJ:AJ)</f>
        <v>0</v>
      </c>
      <c r="EE85" s="128">
        <v>377</v>
      </c>
      <c r="EF85" s="128"/>
      <c r="EG85" s="158">
        <v>45</v>
      </c>
      <c r="EH85" s="191">
        <f t="shared" si="39"/>
        <v>0.612107183257348</v>
      </c>
      <c r="EI85" s="158">
        <f t="shared" si="40"/>
        <v>117.45</v>
      </c>
      <c r="EJ85" s="190">
        <f t="shared" si="33"/>
        <v>74.644014</v>
      </c>
      <c r="EK85" s="191">
        <f t="shared" si="41"/>
        <v>0.197994732095491</v>
      </c>
      <c r="EL85" s="190">
        <f t="shared" si="44"/>
        <v>4.495986</v>
      </c>
      <c r="EM85" s="158" t="str">
        <f t="shared" si="42"/>
        <v>是</v>
      </c>
      <c r="EN85" s="158">
        <f t="shared" si="43"/>
        <v>18.85</v>
      </c>
      <c r="EO85" s="190">
        <f t="shared" si="34"/>
        <v>65.975</v>
      </c>
      <c r="EP85" s="182">
        <f>IF(EE85&lt;299,IF(EE85&lt;99,25,IF(EE85&lt;=149,30,IF(EE85&lt;=299,37,85))),IF(EE85&lt;=498,_xlfn.XLOOKUP(EW85,运费表!A:A,运费表!C:C,"重量超限",-1),_xlfn.XLOOKUP(EW85,运费表!A:A,运费表!D:D,"重量超限",-1)))</f>
        <v>56</v>
      </c>
      <c r="EQ85" s="182">
        <f t="shared" si="35"/>
        <v>39.585</v>
      </c>
      <c r="ER85" s="158">
        <f>_xlfn.XLOOKUP(K85,[4]目录表!$H:$H,[4]目录表!$X:$X)</f>
        <v>0.314</v>
      </c>
      <c r="ES85" s="158">
        <f>_xlfn.XLOOKUP(K85,[4]目录表!$H:$H,[4]目录表!$Y:$Y)</f>
        <v>19.8</v>
      </c>
      <c r="ET85" s="158">
        <f>_xlfn.XLOOKUP(K85,[4]目录表!$H:$H,[4]目录表!$Z:$Z)</f>
        <v>5.8</v>
      </c>
      <c r="EU85" s="158">
        <f>_xlfn.XLOOKUP(K85,[4]目录表!$H:$H,[4]目录表!$AA:$AA)</f>
        <v>5</v>
      </c>
      <c r="EV85" s="158">
        <f t="shared" si="45"/>
        <v>0.11484</v>
      </c>
      <c r="EW85" s="158">
        <f t="shared" si="36"/>
        <v>0.314</v>
      </c>
      <c r="EX85" s="193">
        <f>_xlfn.XLOOKUP(K85,[2]目录表!$H:$H,[2]目录表!$AB:$AB)</f>
        <v>0.0005742</v>
      </c>
      <c r="EZ85" s="194">
        <f t="shared" si="38"/>
        <v>0</v>
      </c>
      <c r="FK85" s="128" t="str">
        <f>_xlfn.XLOOKUP(K85,[2]目录表!$H:$H,[2]目录表!$AJ:$AJ)</f>
        <v>散货</v>
      </c>
    </row>
    <row r="86" customHeight="1" spans="2:167">
      <c r="B86" s="208" t="s">
        <v>536</v>
      </c>
      <c r="C86" s="158">
        <v>23</v>
      </c>
      <c r="D86" s="158">
        <v>66</v>
      </c>
      <c r="E86" s="181">
        <v>46044</v>
      </c>
      <c r="G86" s="128" t="s">
        <v>524</v>
      </c>
      <c r="H86" s="129" t="s">
        <v>537</v>
      </c>
      <c r="J86" s="203" t="s">
        <v>538</v>
      </c>
      <c r="K86" s="128" t="s">
        <v>539</v>
      </c>
      <c r="M86" s="189" t="s">
        <v>183</v>
      </c>
      <c r="N86" s="131">
        <f>_xlfn.XLOOKUP(L86,数据更新表!J:J,数据更新表!K:K)</f>
        <v>0</v>
      </c>
      <c r="O86" s="131" t="str">
        <f>IFERROR(_xlfn.XLOOKUP(K86,数据更新表!A:A,数据更新表!B:B),"0")</f>
        <v>0</v>
      </c>
      <c r="P86" s="131">
        <f>_xlfn.XLOOKUP(K86,[1]库销表!$F:$F,[1]库销表!$L:$L)</f>
        <v>0</v>
      </c>
      <c r="Q86" s="184" t="e">
        <f t="shared" si="28"/>
        <v>#DIV/0!</v>
      </c>
      <c r="S86" s="128" t="e">
        <f>_xlfn.XLOOKUP(K86,数据更新表!R:R,数据更新表!S:S)</f>
        <v>#N/A</v>
      </c>
      <c r="T86" s="128" t="e">
        <f>_xlfn.XLOOKUP(K86,数据更新表!V:V,数据更新表!W:W)</f>
        <v>#N/A</v>
      </c>
      <c r="V86" s="185" t="str">
        <f t="shared" si="29"/>
        <v>0</v>
      </c>
      <c r="W86" s="158">
        <f t="shared" si="30"/>
        <v>0</v>
      </c>
      <c r="X86" s="158">
        <f t="shared" si="37"/>
        <v>0</v>
      </c>
      <c r="AF86" s="128">
        <f t="shared" si="31"/>
        <v>0</v>
      </c>
      <c r="BR86" s="131"/>
      <c r="BS86" s="131">
        <f>_xlfn.XLOOKUP(K86,[1]库销表!$F:$F,[1]库销表!$L:$L)</f>
        <v>0</v>
      </c>
      <c r="BT86" s="131">
        <f t="shared" si="32"/>
        <v>0</v>
      </c>
      <c r="CW86" s="131">
        <f>_xlfn.XLOOKUP(K86,[1]库销表!$F:$F,[1]库销表!$IE:$IE)</f>
        <v>0</v>
      </c>
      <c r="CX86" s="131">
        <f>_xlfn.XLOOKUP(K86,[1]库销表!$F:$F,[1]库销表!$IF:$IF)</f>
        <v>0</v>
      </c>
      <c r="CY86" s="186">
        <f>_xlfn.XLOOKUP(K86,[1]库销表!$F:$F,[1]库销表!$FL:$FL)</f>
        <v>0</v>
      </c>
      <c r="CZ86" s="131">
        <f>_xlfn.XLOOKUP(K86,数据更新表!E:E,数据更新表!F:F,0)</f>
        <v>0</v>
      </c>
      <c r="DA86" s="131">
        <v>0</v>
      </c>
      <c r="DB86" s="131" t="e">
        <f>_xlfn.XLOOKUP(K86,数据更新表!E:E,数据更新表!G:G)</f>
        <v>#N/A</v>
      </c>
      <c r="DC86" s="187">
        <f>_xlfn.XLOOKUP(L86,数据更新表!Z:Z,数据更新表!AH:AH)</f>
        <v>0</v>
      </c>
      <c r="DD86" s="131">
        <f>_xlfn.XLOOKUP(L86,数据更新表!Z:Z,数据更新表!AE:AE)</f>
        <v>0</v>
      </c>
      <c r="DE86" s="131">
        <f>_xlfn.XLOOKUP(L86,数据更新表!Z:Z,数据更新表!AF:AF)</f>
        <v>0</v>
      </c>
      <c r="DF86" s="131" t="e">
        <f>_xlfn.XLOOKUP(K86,数据更新表!Z:Z,数据更新表!AG:AG)</f>
        <v>#N/A</v>
      </c>
      <c r="DG86" s="128">
        <f>_xlfn.XLOOKUP(L86,数据更新表!Z:Z,数据更新表!AD:AD)</f>
        <v>0</v>
      </c>
      <c r="DH86" s="128">
        <f>_xlfn.XLOOKUP(L86,数据更新表!Z:Z,数据更新表!AA:AA)</f>
        <v>0</v>
      </c>
      <c r="DI86" s="128">
        <f>_xlfn.XLOOKUP(L86,数据更新表!Z:Z,数据更新表!AB:AB)</f>
        <v>0</v>
      </c>
      <c r="DJ86" s="128">
        <f>_xlfn.XLOOKUP(L86,数据更新表!Z:Z,数据更新表!AC:AC)</f>
        <v>0</v>
      </c>
      <c r="DK86" s="133">
        <f>_xlfn.XLOOKUP(L86,数据更新表!Z:Z,数据更新表!AI:AI)</f>
        <v>0</v>
      </c>
      <c r="DL86" s="133">
        <f>_xlfn.XLOOKUP(L86,数据更新表!AL:AL,数据更新表!AM:AM)</f>
        <v>0</v>
      </c>
      <c r="DM86" s="131">
        <f>_xlfn.XLOOKUP(L86,数据更新表!Z:Z,数据更新表!AJ:AJ)</f>
        <v>0</v>
      </c>
      <c r="EE86" s="128">
        <v>119</v>
      </c>
      <c r="EF86" s="128"/>
      <c r="EG86" s="158">
        <v>9</v>
      </c>
      <c r="EH86" s="191">
        <f t="shared" si="39"/>
        <v>1.0863598766976</v>
      </c>
      <c r="EI86" s="158">
        <f t="shared" si="40"/>
        <v>23.49</v>
      </c>
      <c r="EJ86" s="190">
        <f t="shared" si="33"/>
        <v>25.8942272</v>
      </c>
      <c r="EK86" s="191">
        <f t="shared" si="41"/>
        <v>0.21759854789916</v>
      </c>
      <c r="EL86" s="190">
        <f t="shared" si="44"/>
        <v>0.3457728</v>
      </c>
      <c r="EM86" s="158" t="str">
        <f t="shared" si="42"/>
        <v>否</v>
      </c>
      <c r="EN86" s="158">
        <f t="shared" si="43"/>
        <v>5.95</v>
      </c>
      <c r="EO86" s="190">
        <f t="shared" si="34"/>
        <v>20.825</v>
      </c>
      <c r="EP86" s="182">
        <f>IF(EE86&lt;299,IF(EE86&lt;99,25,IF(EE86&lt;=149,30,IF(EE86&lt;=299,37,85))),IF(EE86&lt;=498,_xlfn.XLOOKUP(EW86,运费表!A:A,运费表!C:C,"重量超限",-1),_xlfn.XLOOKUP(EW86,运费表!A:A,运费表!D:D,"重量超限",-1)))</f>
        <v>30</v>
      </c>
      <c r="EQ86" s="182">
        <f t="shared" si="35"/>
        <v>12.495</v>
      </c>
      <c r="ER86" s="158">
        <f>_xlfn.XLOOKUP(K86,[4]目录表!$H:$H,[4]目录表!$X:$X)</f>
        <v>0.041</v>
      </c>
      <c r="ES86" s="158">
        <f>_xlfn.XLOOKUP(K86,[4]目录表!$H:$H,[4]目录表!$Y:$Y)</f>
        <v>1.5</v>
      </c>
      <c r="ET86" s="158">
        <f>_xlfn.XLOOKUP(K86,[4]目录表!$H:$H,[4]目录表!$Z:$Z)</f>
        <v>12.8</v>
      </c>
      <c r="EU86" s="158">
        <f>_xlfn.XLOOKUP(K86,[4]目录表!$H:$H,[4]目录表!$AA:$AA)</f>
        <v>2.3</v>
      </c>
      <c r="EV86" s="158">
        <f t="shared" si="45"/>
        <v>0.008832</v>
      </c>
      <c r="EW86" s="158">
        <f t="shared" si="36"/>
        <v>0.041</v>
      </c>
      <c r="EX86" s="193">
        <f>_xlfn.XLOOKUP(K86,[2]目录表!$H:$H,[2]目录表!$AB:$AB)</f>
        <v>4.416e-5</v>
      </c>
      <c r="EZ86" s="194">
        <f t="shared" si="38"/>
        <v>0</v>
      </c>
      <c r="FK86" s="128" t="str">
        <f>_xlfn.XLOOKUP(K86,[2]目录表!$H:$H,[2]目录表!$AJ:$AJ)</f>
        <v>散货</v>
      </c>
    </row>
    <row r="87" customHeight="1" spans="2:167">
      <c r="B87" s="208" t="s">
        <v>540</v>
      </c>
      <c r="C87" s="158">
        <v>36</v>
      </c>
      <c r="D87" s="158">
        <v>142</v>
      </c>
      <c r="E87" s="181">
        <v>46037</v>
      </c>
      <c r="G87" s="128" t="s">
        <v>524</v>
      </c>
      <c r="H87" s="129" t="s">
        <v>541</v>
      </c>
      <c r="J87" s="203" t="s">
        <v>542</v>
      </c>
      <c r="K87" s="128" t="s">
        <v>543</v>
      </c>
      <c r="M87" s="189" t="s">
        <v>183</v>
      </c>
      <c r="N87" s="131">
        <f>_xlfn.XLOOKUP(L87,数据更新表!J:J,数据更新表!K:K)</f>
        <v>0</v>
      </c>
      <c r="O87" s="131" t="str">
        <f>IFERROR(_xlfn.XLOOKUP(K87,数据更新表!A:A,数据更新表!B:B),"0")</f>
        <v>0</v>
      </c>
      <c r="P87" s="131">
        <f>_xlfn.XLOOKUP(K87,[1]库销表!$F:$F,[1]库销表!$L:$L)</f>
        <v>0</v>
      </c>
      <c r="Q87" s="184" t="e">
        <f t="shared" si="28"/>
        <v>#DIV/0!</v>
      </c>
      <c r="S87" s="128" t="e">
        <f>_xlfn.XLOOKUP(K87,数据更新表!R:R,数据更新表!S:S)</f>
        <v>#N/A</v>
      </c>
      <c r="T87" s="128" t="e">
        <f>_xlfn.XLOOKUP(K87,数据更新表!V:V,数据更新表!W:W)</f>
        <v>#N/A</v>
      </c>
      <c r="V87" s="185" t="str">
        <f t="shared" si="29"/>
        <v>0</v>
      </c>
      <c r="W87" s="158">
        <f t="shared" si="30"/>
        <v>0</v>
      </c>
      <c r="X87" s="158">
        <f t="shared" si="37"/>
        <v>0</v>
      </c>
      <c r="AF87" s="128">
        <f t="shared" si="31"/>
        <v>0</v>
      </c>
      <c r="BR87" s="131"/>
      <c r="BS87" s="131">
        <f>_xlfn.XLOOKUP(K87,[1]库销表!$F:$F,[1]库销表!$L:$L)</f>
        <v>0</v>
      </c>
      <c r="BT87" s="131">
        <f t="shared" si="32"/>
        <v>0</v>
      </c>
      <c r="CW87" s="131">
        <f>_xlfn.XLOOKUP(K87,[1]库销表!$F:$F,[1]库销表!$IE:$IE)</f>
        <v>0</v>
      </c>
      <c r="CX87" s="131">
        <f>_xlfn.XLOOKUP(K87,[1]库销表!$F:$F,[1]库销表!$IF:$IF)</f>
        <v>0</v>
      </c>
      <c r="CY87" s="186">
        <f>_xlfn.XLOOKUP(K87,[1]库销表!$F:$F,[1]库销表!$FL:$FL)</f>
        <v>0</v>
      </c>
      <c r="CZ87" s="131">
        <f>_xlfn.XLOOKUP(K87,数据更新表!E:E,数据更新表!F:F,0)</f>
        <v>0</v>
      </c>
      <c r="DA87" s="131">
        <v>0</v>
      </c>
      <c r="DB87" s="131" t="e">
        <f>_xlfn.XLOOKUP(K87,数据更新表!E:E,数据更新表!G:G)</f>
        <v>#N/A</v>
      </c>
      <c r="DC87" s="187">
        <f>_xlfn.XLOOKUP(L87,数据更新表!Z:Z,数据更新表!AH:AH)</f>
        <v>0</v>
      </c>
      <c r="DD87" s="131">
        <f>_xlfn.XLOOKUP(L87,数据更新表!Z:Z,数据更新表!AE:AE)</f>
        <v>0</v>
      </c>
      <c r="DE87" s="131">
        <f>_xlfn.XLOOKUP(L87,数据更新表!Z:Z,数据更新表!AF:AF)</f>
        <v>0</v>
      </c>
      <c r="DF87" s="131" t="e">
        <f>_xlfn.XLOOKUP(K87,数据更新表!Z:Z,数据更新表!AG:AG)</f>
        <v>#N/A</v>
      </c>
      <c r="DG87" s="128">
        <f>_xlfn.XLOOKUP(L87,数据更新表!Z:Z,数据更新表!AD:AD)</f>
        <v>0</v>
      </c>
      <c r="DH87" s="128">
        <f>_xlfn.XLOOKUP(L87,数据更新表!Z:Z,数据更新表!AA:AA)</f>
        <v>0</v>
      </c>
      <c r="DI87" s="128">
        <f>_xlfn.XLOOKUP(L87,数据更新表!Z:Z,数据更新表!AB:AB)</f>
        <v>0</v>
      </c>
      <c r="DJ87" s="128">
        <f>_xlfn.XLOOKUP(L87,数据更新表!Z:Z,数据更新表!AC:AC)</f>
        <v>0</v>
      </c>
      <c r="DK87" s="133">
        <f>_xlfn.XLOOKUP(L87,数据更新表!Z:Z,数据更新表!AI:AI)</f>
        <v>0</v>
      </c>
      <c r="DL87" s="133">
        <f>_xlfn.XLOOKUP(L87,数据更新表!AL:AL,数据更新表!AM:AM)</f>
        <v>0</v>
      </c>
      <c r="DM87" s="131">
        <f>_xlfn.XLOOKUP(L87,数据更新表!Z:Z,数据更新表!AJ:AJ)</f>
        <v>0</v>
      </c>
      <c r="EE87" s="128">
        <v>147</v>
      </c>
      <c r="EF87" s="128"/>
      <c r="EG87" s="158">
        <v>8</v>
      </c>
      <c r="EH87" s="191">
        <f t="shared" si="39"/>
        <v>2.16618958860338</v>
      </c>
      <c r="EI87" s="158">
        <f t="shared" si="40"/>
        <v>20.88</v>
      </c>
      <c r="EJ87" s="190">
        <f t="shared" si="33"/>
        <v>46.85832</v>
      </c>
      <c r="EK87" s="191">
        <f t="shared" si="41"/>
        <v>0.318764081632653</v>
      </c>
      <c r="EL87" s="190">
        <f t="shared" si="44"/>
        <v>0.75168</v>
      </c>
      <c r="EM87" s="158" t="str">
        <f t="shared" si="42"/>
        <v>否</v>
      </c>
      <c r="EN87" s="158">
        <f t="shared" si="43"/>
        <v>7.35</v>
      </c>
      <c r="EO87" s="190">
        <f t="shared" si="34"/>
        <v>25.725</v>
      </c>
      <c r="EP87" s="182">
        <f>IF(EE87&lt;299,IF(EE87&lt;99,25,IF(EE87&lt;=149,30,IF(EE87&lt;=299,37,85))),IF(EE87&lt;=498,_xlfn.XLOOKUP(EW87,运费表!A:A,运费表!C:C,"重量超限",-1),_xlfn.XLOOKUP(EW87,运费表!A:A,运费表!D:D,"重量超限",-1)))</f>
        <v>30</v>
      </c>
      <c r="EQ87" s="182">
        <f t="shared" si="35"/>
        <v>15.435</v>
      </c>
      <c r="ER87" s="158">
        <f>_xlfn.XLOOKUP(K87,[4]目录表!$H:$H,[4]目录表!$X:$X)</f>
        <v>0.114</v>
      </c>
      <c r="ES87" s="158">
        <f>_xlfn.XLOOKUP(K87,[4]目录表!$H:$H,[4]目录表!$Y:$Y)</f>
        <v>2</v>
      </c>
      <c r="ET87" s="158">
        <f>_xlfn.XLOOKUP(K87,[4]目录表!$H:$H,[4]目录表!$Z:$Z)</f>
        <v>6</v>
      </c>
      <c r="EU87" s="158">
        <f>_xlfn.XLOOKUP(K87,[4]目录表!$H:$H,[4]目录表!$AA:$AA)</f>
        <v>8</v>
      </c>
      <c r="EV87" s="158">
        <f t="shared" si="45"/>
        <v>0.0192</v>
      </c>
      <c r="EW87" s="158">
        <f t="shared" si="36"/>
        <v>0.114</v>
      </c>
      <c r="EX87" s="193">
        <f>_xlfn.XLOOKUP(K87,[2]目录表!$H:$H,[2]目录表!$AB:$AB)</f>
        <v>9.6e-5</v>
      </c>
      <c r="EZ87" s="194">
        <f t="shared" si="38"/>
        <v>0</v>
      </c>
      <c r="FK87" s="128" t="str">
        <f>_xlfn.XLOOKUP(K87,[2]目录表!$H:$H,[2]目录表!$AJ:$AJ)</f>
        <v>散货</v>
      </c>
    </row>
    <row r="88" customHeight="1" spans="2:167">
      <c r="B88" s="208" t="s">
        <v>544</v>
      </c>
      <c r="C88" s="158">
        <v>33</v>
      </c>
      <c r="D88" s="158">
        <v>97</v>
      </c>
      <c r="E88" s="181">
        <v>46037</v>
      </c>
      <c r="G88" s="128" t="s">
        <v>524</v>
      </c>
      <c r="H88" s="129" t="s">
        <v>545</v>
      </c>
      <c r="J88" s="203" t="s">
        <v>546</v>
      </c>
      <c r="K88" s="128" t="s">
        <v>547</v>
      </c>
      <c r="M88" s="189" t="s">
        <v>183</v>
      </c>
      <c r="N88" s="131">
        <f>_xlfn.XLOOKUP(L88,数据更新表!J:J,数据更新表!K:K)</f>
        <v>0</v>
      </c>
      <c r="O88" s="131" t="str">
        <f>IFERROR(_xlfn.XLOOKUP(K88,数据更新表!A:A,数据更新表!B:B),"0")</f>
        <v>0</v>
      </c>
      <c r="P88" s="131">
        <f>_xlfn.XLOOKUP(K88,[1]库销表!$F:$F,[1]库销表!$L:$L)</f>
        <v>0</v>
      </c>
      <c r="Q88" s="184" t="e">
        <f t="shared" si="28"/>
        <v>#DIV/0!</v>
      </c>
      <c r="S88" s="128" t="e">
        <f>_xlfn.XLOOKUP(K88,数据更新表!R:R,数据更新表!S:S)</f>
        <v>#N/A</v>
      </c>
      <c r="T88" s="128" t="e">
        <f>_xlfn.XLOOKUP(K88,数据更新表!V:V,数据更新表!W:W)</f>
        <v>#N/A</v>
      </c>
      <c r="V88" s="185" t="str">
        <f t="shared" si="29"/>
        <v>0</v>
      </c>
      <c r="W88" s="158">
        <f t="shared" si="30"/>
        <v>0</v>
      </c>
      <c r="X88" s="158">
        <f t="shared" si="37"/>
        <v>0</v>
      </c>
      <c r="AF88" s="128">
        <f t="shared" si="31"/>
        <v>0</v>
      </c>
      <c r="BR88" s="131"/>
      <c r="BS88" s="131">
        <f>_xlfn.XLOOKUP(K88,[1]库销表!$F:$F,[1]库销表!$L:$L)</f>
        <v>0</v>
      </c>
      <c r="BT88" s="131">
        <f t="shared" si="32"/>
        <v>0</v>
      </c>
      <c r="CW88" s="131">
        <f>_xlfn.XLOOKUP(K88,[1]库销表!$F:$F,[1]库销表!$IE:$IE)</f>
        <v>0</v>
      </c>
      <c r="CX88" s="131">
        <f>_xlfn.XLOOKUP(K88,[1]库销表!$F:$F,[1]库销表!$IF:$IF)</f>
        <v>0</v>
      </c>
      <c r="CY88" s="186">
        <f>_xlfn.XLOOKUP(K88,[1]库销表!$F:$F,[1]库销表!$FL:$FL)</f>
        <v>0</v>
      </c>
      <c r="CZ88" s="131">
        <f>_xlfn.XLOOKUP(K88,数据更新表!E:E,数据更新表!F:F,0)</f>
        <v>0</v>
      </c>
      <c r="DA88" s="131">
        <v>0</v>
      </c>
      <c r="DB88" s="131" t="e">
        <f>_xlfn.XLOOKUP(K88,数据更新表!E:E,数据更新表!G:G)</f>
        <v>#N/A</v>
      </c>
      <c r="DC88" s="187">
        <f>_xlfn.XLOOKUP(L88,数据更新表!Z:Z,数据更新表!AH:AH)</f>
        <v>0</v>
      </c>
      <c r="DD88" s="131">
        <f>_xlfn.XLOOKUP(L88,数据更新表!Z:Z,数据更新表!AE:AE)</f>
        <v>0</v>
      </c>
      <c r="DE88" s="131">
        <f>_xlfn.XLOOKUP(L88,数据更新表!Z:Z,数据更新表!AF:AF)</f>
        <v>0</v>
      </c>
      <c r="DF88" s="131" t="e">
        <f>_xlfn.XLOOKUP(K88,数据更新表!Z:Z,数据更新表!AG:AG)</f>
        <v>#N/A</v>
      </c>
      <c r="DG88" s="128">
        <f>_xlfn.XLOOKUP(L88,数据更新表!Z:Z,数据更新表!AD:AD)</f>
        <v>0</v>
      </c>
      <c r="DH88" s="128">
        <f>_xlfn.XLOOKUP(L88,数据更新表!Z:Z,数据更新表!AA:AA)</f>
        <v>0</v>
      </c>
      <c r="DI88" s="128">
        <f>_xlfn.XLOOKUP(L88,数据更新表!Z:Z,数据更新表!AB:AB)</f>
        <v>0</v>
      </c>
      <c r="DJ88" s="128">
        <f>_xlfn.XLOOKUP(L88,数据更新表!Z:Z,数据更新表!AC:AC)</f>
        <v>0</v>
      </c>
      <c r="DK88" s="133">
        <f>_xlfn.XLOOKUP(L88,数据更新表!Z:Z,数据更新表!AI:AI)</f>
        <v>0</v>
      </c>
      <c r="DL88" s="133">
        <f>_xlfn.XLOOKUP(L88,数据更新表!AL:AL,数据更新表!AM:AM)</f>
        <v>0</v>
      </c>
      <c r="DM88" s="131">
        <f>_xlfn.XLOOKUP(L88,数据更新表!Z:Z,数据更新表!AJ:AJ)</f>
        <v>0</v>
      </c>
      <c r="EE88" s="128">
        <v>172</v>
      </c>
      <c r="EF88" s="128"/>
      <c r="EG88" s="158">
        <v>12.99</v>
      </c>
      <c r="EH88" s="191">
        <f t="shared" si="39"/>
        <v>1.14427836153454</v>
      </c>
      <c r="EI88" s="158">
        <f t="shared" si="40"/>
        <v>33.9039</v>
      </c>
      <c r="EJ88" s="190">
        <f t="shared" si="33"/>
        <v>41.7522</v>
      </c>
      <c r="EK88" s="191">
        <f t="shared" si="41"/>
        <v>0.242745348837209</v>
      </c>
      <c r="EL88" s="190">
        <f t="shared" si="44"/>
        <v>2.5839</v>
      </c>
      <c r="EM88" s="158" t="str">
        <f t="shared" si="42"/>
        <v>否</v>
      </c>
      <c r="EN88" s="158">
        <f t="shared" si="43"/>
        <v>8.6</v>
      </c>
      <c r="EO88" s="190">
        <f t="shared" si="34"/>
        <v>30.1</v>
      </c>
      <c r="EP88" s="182">
        <f>IF(EE88&lt;299,IF(EE88&lt;99,25,IF(EE88&lt;=149,30,IF(EE88&lt;=299,37,85))),IF(EE88&lt;=498,_xlfn.XLOOKUP(EW88,运费表!A:A,运费表!C:C,"重量超限",-1),_xlfn.XLOOKUP(EW88,运费表!A:A,运费表!D:D,"重量超限",-1)))</f>
        <v>37</v>
      </c>
      <c r="EQ88" s="182">
        <f t="shared" si="35"/>
        <v>18.06</v>
      </c>
      <c r="ER88" s="158">
        <f>_xlfn.XLOOKUP(K88,[4]目录表!$H:$H,[4]目录表!$X:$X)</f>
        <v>0.142</v>
      </c>
      <c r="ES88" s="158">
        <f>_xlfn.XLOOKUP(K88,[4]目录表!$H:$H,[4]目录表!$Y:$Y)</f>
        <v>10</v>
      </c>
      <c r="ET88" s="158">
        <f>_xlfn.XLOOKUP(K88,[4]目录表!$H:$H,[4]目录表!$Z:$Z)</f>
        <v>6</v>
      </c>
      <c r="EU88" s="158">
        <f>_xlfn.XLOOKUP(K88,[4]目录表!$H:$H,[4]目录表!$AA:$AA)</f>
        <v>5.5</v>
      </c>
      <c r="EV88" s="158">
        <f t="shared" si="45"/>
        <v>0.066</v>
      </c>
      <c r="EW88" s="158">
        <f t="shared" si="36"/>
        <v>0.142</v>
      </c>
      <c r="EX88" s="193">
        <f>_xlfn.XLOOKUP(K88,[2]目录表!$H:$H,[2]目录表!$AB:$AB)</f>
        <v>0.00033</v>
      </c>
      <c r="EZ88" s="194">
        <f t="shared" si="38"/>
        <v>0</v>
      </c>
      <c r="FK88" s="128" t="str">
        <f>_xlfn.XLOOKUP(K88,[2]目录表!$H:$H,[2]目录表!$AJ:$AJ)</f>
        <v>散货</v>
      </c>
    </row>
    <row r="89" customHeight="1" spans="2:167">
      <c r="B89" s="208" t="s">
        <v>548</v>
      </c>
      <c r="C89" s="158">
        <v>3</v>
      </c>
      <c r="D89" s="158">
        <v>82</v>
      </c>
      <c r="E89" s="181">
        <v>46045</v>
      </c>
      <c r="G89" s="128" t="s">
        <v>524</v>
      </c>
      <c r="H89" s="129" t="s">
        <v>549</v>
      </c>
      <c r="J89" s="203" t="s">
        <v>550</v>
      </c>
      <c r="K89" s="128" t="s">
        <v>551</v>
      </c>
      <c r="M89" s="189" t="s">
        <v>183</v>
      </c>
      <c r="N89" s="131">
        <f>_xlfn.XLOOKUP(L89,数据更新表!J:J,数据更新表!K:K)</f>
        <v>0</v>
      </c>
      <c r="O89" s="131" t="str">
        <f>IFERROR(_xlfn.XLOOKUP(K89,数据更新表!A:A,数据更新表!B:B),"0")</f>
        <v>0</v>
      </c>
      <c r="P89" s="131">
        <f>_xlfn.XLOOKUP(K89,[1]库销表!$F:$F,[1]库销表!$L:$L)</f>
        <v>0</v>
      </c>
      <c r="Q89" s="184" t="e">
        <f t="shared" si="28"/>
        <v>#DIV/0!</v>
      </c>
      <c r="S89" s="128" t="e">
        <f>_xlfn.XLOOKUP(K89,数据更新表!R:R,数据更新表!S:S)</f>
        <v>#N/A</v>
      </c>
      <c r="T89" s="128" t="e">
        <f>_xlfn.XLOOKUP(K89,数据更新表!V:V,数据更新表!W:W)</f>
        <v>#N/A</v>
      </c>
      <c r="V89" s="185" t="str">
        <f t="shared" si="29"/>
        <v>0</v>
      </c>
      <c r="W89" s="158">
        <f t="shared" si="30"/>
        <v>0</v>
      </c>
      <c r="X89" s="158">
        <f t="shared" si="37"/>
        <v>0</v>
      </c>
      <c r="AF89" s="128">
        <f t="shared" si="31"/>
        <v>0</v>
      </c>
      <c r="BR89" s="131"/>
      <c r="BS89" s="131">
        <f>_xlfn.XLOOKUP(K89,[1]库销表!$F:$F,[1]库销表!$L:$L)</f>
        <v>0</v>
      </c>
      <c r="BT89" s="131">
        <f t="shared" si="32"/>
        <v>0</v>
      </c>
      <c r="CW89" s="131">
        <f>_xlfn.XLOOKUP(K89,[1]库销表!$F:$F,[1]库销表!$IE:$IE)</f>
        <v>0</v>
      </c>
      <c r="CX89" s="131">
        <f>_xlfn.XLOOKUP(K89,[1]库销表!$F:$F,[1]库销表!$IF:$IF)</f>
        <v>0</v>
      </c>
      <c r="CY89" s="186">
        <f>_xlfn.XLOOKUP(K89,[1]库销表!$F:$F,[1]库销表!$FL:$FL)</f>
        <v>0</v>
      </c>
      <c r="CZ89" s="131">
        <f>_xlfn.XLOOKUP(K89,数据更新表!E:E,数据更新表!F:F,0)</f>
        <v>0</v>
      </c>
      <c r="DA89" s="131">
        <v>0</v>
      </c>
      <c r="DB89" s="131" t="e">
        <f>_xlfn.XLOOKUP(K89,数据更新表!E:E,数据更新表!G:G)</f>
        <v>#N/A</v>
      </c>
      <c r="DC89" s="187">
        <f>_xlfn.XLOOKUP(L89,数据更新表!Z:Z,数据更新表!AH:AH)</f>
        <v>0</v>
      </c>
      <c r="DD89" s="131">
        <f>_xlfn.XLOOKUP(L89,数据更新表!Z:Z,数据更新表!AE:AE)</f>
        <v>0</v>
      </c>
      <c r="DE89" s="131">
        <f>_xlfn.XLOOKUP(L89,数据更新表!Z:Z,数据更新表!AF:AF)</f>
        <v>0</v>
      </c>
      <c r="DF89" s="131" t="e">
        <f>_xlfn.XLOOKUP(K89,数据更新表!Z:Z,数据更新表!AG:AG)</f>
        <v>#N/A</v>
      </c>
      <c r="DG89" s="128">
        <f>_xlfn.XLOOKUP(L89,数据更新表!Z:Z,数据更新表!AD:AD)</f>
        <v>0</v>
      </c>
      <c r="DH89" s="128">
        <f>_xlfn.XLOOKUP(L89,数据更新表!Z:Z,数据更新表!AA:AA)</f>
        <v>0</v>
      </c>
      <c r="DI89" s="128">
        <f>_xlfn.XLOOKUP(L89,数据更新表!Z:Z,数据更新表!AB:AB)</f>
        <v>0</v>
      </c>
      <c r="DJ89" s="128">
        <f>_xlfn.XLOOKUP(L89,数据更新表!Z:Z,数据更新表!AC:AC)</f>
        <v>0</v>
      </c>
      <c r="DK89" s="133">
        <f>_xlfn.XLOOKUP(L89,数据更新表!Z:Z,数据更新表!AI:AI)</f>
        <v>0</v>
      </c>
      <c r="DL89" s="133">
        <f>_xlfn.XLOOKUP(L89,数据更新表!AL:AL,数据更新表!AM:AM)</f>
        <v>0</v>
      </c>
      <c r="DM89" s="131">
        <f>_xlfn.XLOOKUP(L89,数据更新表!Z:Z,数据更新表!AJ:AJ)</f>
        <v>0</v>
      </c>
      <c r="EE89" s="128">
        <v>226</v>
      </c>
      <c r="EF89" s="128"/>
      <c r="EG89" s="158">
        <v>24</v>
      </c>
      <c r="EH89" s="191">
        <f t="shared" si="39"/>
        <v>0.761534160466918</v>
      </c>
      <c r="EI89" s="158">
        <f t="shared" si="40"/>
        <v>62.64</v>
      </c>
      <c r="EJ89" s="190">
        <f t="shared" si="33"/>
        <v>49.46525625</v>
      </c>
      <c r="EK89" s="191">
        <f t="shared" si="41"/>
        <v>0.218872815265487</v>
      </c>
      <c r="EL89" s="190">
        <f t="shared" si="44"/>
        <v>2.31474375</v>
      </c>
      <c r="EM89" s="158" t="str">
        <f t="shared" si="42"/>
        <v>否</v>
      </c>
      <c r="EN89" s="158">
        <f t="shared" si="43"/>
        <v>11.3</v>
      </c>
      <c r="EO89" s="190">
        <f t="shared" si="34"/>
        <v>39.55</v>
      </c>
      <c r="EP89" s="182">
        <f>IF(EE89&lt;299,IF(EE89&lt;99,25,IF(EE89&lt;=149,30,IF(EE89&lt;=299,37,85))),IF(EE89&lt;=498,_xlfn.XLOOKUP(EW89,运费表!A:A,运费表!C:C,"重量超限",-1),_xlfn.XLOOKUP(EW89,运费表!A:A,运费表!D:D,"重量超限",-1)))</f>
        <v>37</v>
      </c>
      <c r="EQ89" s="182">
        <f t="shared" si="35"/>
        <v>23.73</v>
      </c>
      <c r="ER89" s="158">
        <f>_xlfn.XLOOKUP(K89,[4]目录表!$H:$H,[4]目录表!$X:$X)</f>
        <v>0.078</v>
      </c>
      <c r="ES89" s="158">
        <f>_xlfn.XLOOKUP(K89,[4]目录表!$H:$H,[4]目录表!$Y:$Y)</f>
        <v>12.5</v>
      </c>
      <c r="ET89" s="158">
        <f>_xlfn.XLOOKUP(K89,[4]目录表!$H:$H,[4]目录表!$Z:$Z)</f>
        <v>5.5</v>
      </c>
      <c r="EU89" s="158">
        <f>_xlfn.XLOOKUP(K89,[4]目录表!$H:$H,[4]目录表!$AA:$AA)</f>
        <v>4.3</v>
      </c>
      <c r="EV89" s="158">
        <f t="shared" si="45"/>
        <v>0.059125</v>
      </c>
      <c r="EW89" s="158">
        <f t="shared" si="36"/>
        <v>0.078</v>
      </c>
      <c r="EX89" s="193">
        <f>_xlfn.XLOOKUP(K89,[2]目录表!$H:$H,[2]目录表!$AB:$AB)</f>
        <v>0.000295625</v>
      </c>
      <c r="EZ89" s="194">
        <f t="shared" si="38"/>
        <v>0</v>
      </c>
      <c r="FK89" s="128" t="str">
        <f>_xlfn.XLOOKUP(K89,[2]目录表!$H:$H,[2]目录表!$AJ:$AJ)</f>
        <v>散货</v>
      </c>
    </row>
    <row r="90" customHeight="1" spans="2:167">
      <c r="B90" s="208" t="s">
        <v>552</v>
      </c>
      <c r="C90" s="158">
        <v>94</v>
      </c>
      <c r="D90" s="158">
        <v>338</v>
      </c>
      <c r="E90" s="181">
        <v>46048</v>
      </c>
      <c r="G90" s="128" t="s">
        <v>553</v>
      </c>
      <c r="H90" s="129" t="s">
        <v>554</v>
      </c>
      <c r="J90" s="203" t="s">
        <v>555</v>
      </c>
      <c r="K90" s="128" t="s">
        <v>556</v>
      </c>
      <c r="M90" s="189" t="s">
        <v>183</v>
      </c>
      <c r="N90" s="131">
        <f>_xlfn.XLOOKUP(L90,数据更新表!J:J,数据更新表!K:K)</f>
        <v>0</v>
      </c>
      <c r="O90" s="131" t="str">
        <f>IFERROR(_xlfn.XLOOKUP(K90,数据更新表!A:A,数据更新表!B:B),"0")</f>
        <v>0</v>
      </c>
      <c r="P90" s="131">
        <f>_xlfn.XLOOKUP(K90,[1]库销表!$F:$F,[1]库销表!$L:$L)</f>
        <v>0</v>
      </c>
      <c r="Q90" s="184" t="e">
        <f t="shared" si="28"/>
        <v>#DIV/0!</v>
      </c>
      <c r="S90" s="128" t="e">
        <f>_xlfn.XLOOKUP(K90,数据更新表!R:R,数据更新表!S:S)</f>
        <v>#N/A</v>
      </c>
      <c r="T90" s="128" t="e">
        <f>_xlfn.XLOOKUP(K90,数据更新表!V:V,数据更新表!W:W)</f>
        <v>#N/A</v>
      </c>
      <c r="V90" s="185" t="str">
        <f t="shared" si="29"/>
        <v>0</v>
      </c>
      <c r="W90" s="158">
        <f t="shared" si="30"/>
        <v>0</v>
      </c>
      <c r="X90" s="158">
        <f t="shared" si="37"/>
        <v>0</v>
      </c>
      <c r="AF90" s="128">
        <f t="shared" si="31"/>
        <v>0</v>
      </c>
      <c r="BR90" s="131"/>
      <c r="BS90" s="131">
        <f>_xlfn.XLOOKUP(K90,[1]库销表!$F:$F,[1]库销表!$L:$L)</f>
        <v>0</v>
      </c>
      <c r="BT90" s="131">
        <f t="shared" si="32"/>
        <v>0</v>
      </c>
      <c r="CW90" s="131">
        <f>_xlfn.XLOOKUP(K90,[1]库销表!$F:$F,[1]库销表!$IE:$IE)</f>
        <v>0</v>
      </c>
      <c r="CX90" s="131">
        <f>_xlfn.XLOOKUP(K90,[1]库销表!$F:$F,[1]库销表!$IF:$IF)</f>
        <v>0</v>
      </c>
      <c r="CY90" s="186">
        <f>_xlfn.XLOOKUP(K90,[1]库销表!$F:$F,[1]库销表!$FL:$FL)</f>
        <v>0</v>
      </c>
      <c r="CZ90" s="131">
        <f>_xlfn.XLOOKUP(K90,数据更新表!E:E,数据更新表!F:F,0)</f>
        <v>0</v>
      </c>
      <c r="DA90" s="131">
        <v>0</v>
      </c>
      <c r="DB90" s="131" t="e">
        <f>_xlfn.XLOOKUP(K90,数据更新表!E:E,数据更新表!G:G)</f>
        <v>#N/A</v>
      </c>
      <c r="DC90" s="187">
        <f>_xlfn.XLOOKUP(L90,数据更新表!Z:Z,数据更新表!AH:AH)</f>
        <v>0</v>
      </c>
      <c r="DD90" s="131">
        <f>_xlfn.XLOOKUP(L90,数据更新表!Z:Z,数据更新表!AE:AE)</f>
        <v>0</v>
      </c>
      <c r="DE90" s="131">
        <f>_xlfn.XLOOKUP(L90,数据更新表!Z:Z,数据更新表!AF:AF)</f>
        <v>0</v>
      </c>
      <c r="DF90" s="131" t="e">
        <f>_xlfn.XLOOKUP(K90,数据更新表!Z:Z,数据更新表!AG:AG)</f>
        <v>#N/A</v>
      </c>
      <c r="DG90" s="128">
        <f>_xlfn.XLOOKUP(L90,数据更新表!Z:Z,数据更新表!AD:AD)</f>
        <v>0</v>
      </c>
      <c r="DH90" s="128">
        <f>_xlfn.XLOOKUP(L90,数据更新表!Z:Z,数据更新表!AA:AA)</f>
        <v>0</v>
      </c>
      <c r="DI90" s="128">
        <f>_xlfn.XLOOKUP(L90,数据更新表!Z:Z,数据更新表!AB:AB)</f>
        <v>0</v>
      </c>
      <c r="DJ90" s="128">
        <f>_xlfn.XLOOKUP(L90,数据更新表!Z:Z,数据更新表!AC:AC)</f>
        <v>0</v>
      </c>
      <c r="DK90" s="133">
        <f>_xlfn.XLOOKUP(L90,数据更新表!Z:Z,数据更新表!AI:AI)</f>
        <v>0</v>
      </c>
      <c r="DL90" s="133">
        <f>_xlfn.XLOOKUP(L90,数据更新表!AL:AL,数据更新表!AM:AM)</f>
        <v>0</v>
      </c>
      <c r="DM90" s="131">
        <f>_xlfn.XLOOKUP(L90,数据更新表!Z:Z,数据更新表!AJ:AJ)</f>
        <v>0</v>
      </c>
      <c r="EE90" s="128">
        <v>89</v>
      </c>
      <c r="EF90" s="128"/>
      <c r="EG90" s="158">
        <v>4</v>
      </c>
      <c r="EH90" s="191">
        <f t="shared" si="39"/>
        <v>1.23830075807491</v>
      </c>
      <c r="EI90" s="158">
        <f t="shared" si="40"/>
        <v>10.44</v>
      </c>
      <c r="EJ90" s="190">
        <f t="shared" si="33"/>
        <v>19.158442</v>
      </c>
      <c r="EK90" s="191">
        <f t="shared" si="41"/>
        <v>0.215263393258427</v>
      </c>
      <c r="EL90" s="190">
        <f t="shared" si="44"/>
        <v>5.031558</v>
      </c>
      <c r="EM90" s="158" t="str">
        <f t="shared" si="42"/>
        <v>否</v>
      </c>
      <c r="EN90" s="158">
        <f t="shared" si="43"/>
        <v>4.45</v>
      </c>
      <c r="EO90" s="190">
        <f t="shared" si="34"/>
        <v>15.575</v>
      </c>
      <c r="EP90" s="182">
        <f>IF(EE90&lt;299,IF(EE90&lt;99,25,IF(EE90&lt;=149,30,IF(EE90&lt;=299,37,85))),IF(EE90&lt;=498,_xlfn.XLOOKUP(EW90,运费表!A:A,运费表!C:C,"重量超限",-1),_xlfn.XLOOKUP(EW90,运费表!A:A,运费表!D:D,"重量超限",-1)))</f>
        <v>25</v>
      </c>
      <c r="EQ90" s="182">
        <f t="shared" si="35"/>
        <v>9.345</v>
      </c>
      <c r="ER90" s="158">
        <f>_xlfn.XLOOKUP(K90,[4]目录表!$H:$H,[4]目录表!$X:$X)</f>
        <v>0.31</v>
      </c>
      <c r="ES90" s="158">
        <f>_xlfn.XLOOKUP(K90,[4]目录表!$H:$H,[4]目录表!$Y:$Y)</f>
        <v>15</v>
      </c>
      <c r="ET90" s="158">
        <f>_xlfn.XLOOKUP(K90,[4]目录表!$H:$H,[4]目录表!$Z:$Z)</f>
        <v>15</v>
      </c>
      <c r="EU90" s="158">
        <f>_xlfn.XLOOKUP(K90,[4]目录表!$H:$H,[4]目录表!$AA:$AA)</f>
        <v>2</v>
      </c>
      <c r="EV90" s="158">
        <f t="shared" si="45"/>
        <v>0.09</v>
      </c>
      <c r="EW90" s="158">
        <f t="shared" si="36"/>
        <v>0.31</v>
      </c>
      <c r="EX90" s="193">
        <f>_xlfn.XLOOKUP(K90,[2]目录表!$H:$H,[2]目录表!$AB:$AB)</f>
        <v>0.0006426</v>
      </c>
      <c r="EZ90" s="194">
        <f t="shared" si="38"/>
        <v>0</v>
      </c>
      <c r="FK90" s="128" t="str">
        <f>_xlfn.XLOOKUP(K90,[2]目录表!$H:$H,[2]目录表!$AJ:$AJ)</f>
        <v>散货</v>
      </c>
    </row>
    <row r="91" customHeight="1" spans="2:167">
      <c r="B91" s="208" t="s">
        <v>557</v>
      </c>
      <c r="C91" s="158">
        <v>21</v>
      </c>
      <c r="D91" s="158">
        <v>28</v>
      </c>
      <c r="E91" s="181">
        <v>46048</v>
      </c>
      <c r="G91" s="128" t="s">
        <v>558</v>
      </c>
      <c r="H91" s="129" t="s">
        <v>559</v>
      </c>
      <c r="J91" s="203" t="s">
        <v>560</v>
      </c>
      <c r="K91" s="128" t="s">
        <v>561</v>
      </c>
      <c r="M91" s="189" t="s">
        <v>183</v>
      </c>
      <c r="N91" s="131">
        <f>_xlfn.XLOOKUP(L91,数据更新表!J:J,数据更新表!K:K)</f>
        <v>0</v>
      </c>
      <c r="O91" s="131" t="str">
        <f>IFERROR(_xlfn.XLOOKUP(K91,数据更新表!A:A,数据更新表!B:B),"0")</f>
        <v>0</v>
      </c>
      <c r="P91" s="131">
        <f>_xlfn.XLOOKUP(K91,[1]库销表!$F:$F,[1]库销表!$L:$L)</f>
        <v>0</v>
      </c>
      <c r="Q91" s="184" t="e">
        <f t="shared" si="28"/>
        <v>#DIV/0!</v>
      </c>
      <c r="S91" s="128" t="e">
        <f>_xlfn.XLOOKUP(K91,数据更新表!R:R,数据更新表!S:S)</f>
        <v>#N/A</v>
      </c>
      <c r="T91" s="128" t="e">
        <f>_xlfn.XLOOKUP(K91,数据更新表!V:V,数据更新表!W:W)</f>
        <v>#N/A</v>
      </c>
      <c r="V91" s="185" t="str">
        <f t="shared" si="29"/>
        <v>0</v>
      </c>
      <c r="W91" s="158">
        <f t="shared" si="30"/>
        <v>0</v>
      </c>
      <c r="X91" s="158">
        <f t="shared" si="37"/>
        <v>0</v>
      </c>
      <c r="AF91" s="128">
        <f t="shared" si="31"/>
        <v>0</v>
      </c>
      <c r="BR91" s="131"/>
      <c r="BS91" s="131">
        <f>_xlfn.XLOOKUP(K91,[1]库销表!$F:$F,[1]库销表!$L:$L)</f>
        <v>0</v>
      </c>
      <c r="BT91" s="131">
        <f t="shared" si="32"/>
        <v>0</v>
      </c>
      <c r="CW91" s="131">
        <f>_xlfn.XLOOKUP(K91,[1]库销表!$F:$F,[1]库销表!$IE:$IE)</f>
        <v>0</v>
      </c>
      <c r="CX91" s="131">
        <f>_xlfn.XLOOKUP(K91,[1]库销表!$F:$F,[1]库销表!$IF:$IF)</f>
        <v>0</v>
      </c>
      <c r="CY91" s="186">
        <f>_xlfn.XLOOKUP(K91,[1]库销表!$F:$F,[1]库销表!$FL:$FL)</f>
        <v>0</v>
      </c>
      <c r="CZ91" s="131">
        <f>_xlfn.XLOOKUP(K91,数据更新表!E:E,数据更新表!F:F,0)</f>
        <v>0</v>
      </c>
      <c r="DA91" s="131">
        <v>0</v>
      </c>
      <c r="DB91" s="131" t="e">
        <f>_xlfn.XLOOKUP(K91,数据更新表!E:E,数据更新表!G:G)</f>
        <v>#N/A</v>
      </c>
      <c r="DC91" s="187">
        <f>_xlfn.XLOOKUP(L91,数据更新表!Z:Z,数据更新表!AH:AH)</f>
        <v>0</v>
      </c>
      <c r="DD91" s="131">
        <f>_xlfn.XLOOKUP(L91,数据更新表!Z:Z,数据更新表!AE:AE)</f>
        <v>0</v>
      </c>
      <c r="DE91" s="131">
        <f>_xlfn.XLOOKUP(L91,数据更新表!Z:Z,数据更新表!AF:AF)</f>
        <v>0</v>
      </c>
      <c r="DF91" s="131" t="e">
        <f>_xlfn.XLOOKUP(K91,数据更新表!Z:Z,数据更新表!AG:AG)</f>
        <v>#N/A</v>
      </c>
      <c r="DG91" s="128">
        <f>_xlfn.XLOOKUP(L91,数据更新表!Z:Z,数据更新表!AD:AD)</f>
        <v>0</v>
      </c>
      <c r="DH91" s="128">
        <f>_xlfn.XLOOKUP(L91,数据更新表!Z:Z,数据更新表!AA:AA)</f>
        <v>0</v>
      </c>
      <c r="DI91" s="128">
        <f>_xlfn.XLOOKUP(L91,数据更新表!Z:Z,数据更新表!AB:AB)</f>
        <v>0</v>
      </c>
      <c r="DJ91" s="128">
        <f>_xlfn.XLOOKUP(L91,数据更新表!Z:Z,数据更新表!AC:AC)</f>
        <v>0</v>
      </c>
      <c r="DK91" s="133">
        <f>_xlfn.XLOOKUP(L91,数据更新表!Z:Z,数据更新表!AI:AI)</f>
        <v>0</v>
      </c>
      <c r="DL91" s="133">
        <f>_xlfn.XLOOKUP(L91,数据更新表!AL:AL,数据更新表!AM:AM)</f>
        <v>0</v>
      </c>
      <c r="DM91" s="131">
        <f>_xlfn.XLOOKUP(L91,数据更新表!Z:Z,数据更新表!AJ:AJ)</f>
        <v>0</v>
      </c>
      <c r="EE91" s="128">
        <v>144</v>
      </c>
      <c r="EF91" s="128"/>
      <c r="EG91" s="158">
        <v>8.8</v>
      </c>
      <c r="EH91" s="191">
        <f t="shared" si="39"/>
        <v>1.15858172608611</v>
      </c>
      <c r="EI91" s="158">
        <f t="shared" si="40"/>
        <v>22.968</v>
      </c>
      <c r="EJ91" s="190">
        <f t="shared" si="33"/>
        <v>35.682</v>
      </c>
      <c r="EK91" s="191">
        <f t="shared" si="41"/>
        <v>0.247791666666667</v>
      </c>
      <c r="EL91" s="190">
        <f t="shared" si="44"/>
        <v>7.83</v>
      </c>
      <c r="EM91" s="158" t="str">
        <f t="shared" si="42"/>
        <v>否</v>
      </c>
      <c r="EN91" s="158">
        <f t="shared" si="43"/>
        <v>7.2</v>
      </c>
      <c r="EO91" s="190">
        <f t="shared" si="34"/>
        <v>25.2</v>
      </c>
      <c r="EP91" s="182">
        <f>IF(EE91&lt;299,IF(EE91&lt;99,25,IF(EE91&lt;=149,30,IF(EE91&lt;=299,37,85))),IF(EE91&lt;=498,_xlfn.XLOOKUP(EW91,运费表!A:A,运费表!C:C,"重量超限",-1),_xlfn.XLOOKUP(EW91,运费表!A:A,运费表!D:D,"重量超限",-1)))</f>
        <v>30</v>
      </c>
      <c r="EQ91" s="182">
        <f t="shared" si="35"/>
        <v>15.12</v>
      </c>
      <c r="ER91" s="158">
        <f>_xlfn.XLOOKUP(K91,[4]目录表!$H:$H,[4]目录表!$X:$X)</f>
        <v>0.2</v>
      </c>
      <c r="ES91" s="158">
        <f>_xlfn.XLOOKUP(K91,[4]目录表!$H:$H,[4]目录表!$Y:$Y)</f>
        <v>10</v>
      </c>
      <c r="ET91" s="158">
        <f>_xlfn.XLOOKUP(K91,[4]目录表!$H:$H,[4]目录表!$Z:$Z)</f>
        <v>20</v>
      </c>
      <c r="EU91" s="158">
        <f>_xlfn.XLOOKUP(K91,[4]目录表!$H:$H,[4]目录表!$AA:$AA)</f>
        <v>5</v>
      </c>
      <c r="EV91" s="158">
        <f t="shared" si="45"/>
        <v>0.2</v>
      </c>
      <c r="EW91" s="158">
        <f t="shared" si="36"/>
        <v>0.2</v>
      </c>
      <c r="EX91" s="193">
        <f>_xlfn.XLOOKUP(K91,[2]目录表!$H:$H,[2]目录表!$AB:$AB)</f>
        <v>0.001</v>
      </c>
      <c r="EZ91" s="194">
        <f t="shared" si="38"/>
        <v>0</v>
      </c>
      <c r="FK91" s="128" t="str">
        <f>_xlfn.XLOOKUP(K91,[2]目录表!$H:$H,[2]目录表!$AJ:$AJ)</f>
        <v>散货</v>
      </c>
    </row>
    <row r="92" customHeight="1" spans="2:167">
      <c r="B92" s="208" t="s">
        <v>562</v>
      </c>
      <c r="C92" s="158">
        <v>14</v>
      </c>
      <c r="D92" s="158">
        <v>28</v>
      </c>
      <c r="E92" s="181">
        <v>46048</v>
      </c>
      <c r="G92" s="128" t="s">
        <v>563</v>
      </c>
      <c r="H92" s="129" t="s">
        <v>564</v>
      </c>
      <c r="J92" s="203" t="s">
        <v>565</v>
      </c>
      <c r="K92" s="128" t="s">
        <v>566</v>
      </c>
      <c r="M92" s="189" t="s">
        <v>183</v>
      </c>
      <c r="N92" s="131">
        <f>_xlfn.XLOOKUP(L92,数据更新表!J:J,数据更新表!K:K)</f>
        <v>0</v>
      </c>
      <c r="O92" s="131" t="str">
        <f>IFERROR(_xlfn.XLOOKUP(K92,数据更新表!A:A,数据更新表!B:B),"0")</f>
        <v>0</v>
      </c>
      <c r="P92" s="131">
        <f>_xlfn.XLOOKUP(K92,[1]库销表!$F:$F,[1]库销表!$L:$L)</f>
        <v>0</v>
      </c>
      <c r="Q92" s="184" t="e">
        <f t="shared" si="28"/>
        <v>#DIV/0!</v>
      </c>
      <c r="S92" s="128" t="e">
        <f>_xlfn.XLOOKUP(K92,数据更新表!R:R,数据更新表!S:S)</f>
        <v>#N/A</v>
      </c>
      <c r="T92" s="128" t="e">
        <f>_xlfn.XLOOKUP(K92,数据更新表!V:V,数据更新表!W:W)</f>
        <v>#N/A</v>
      </c>
      <c r="V92" s="185" t="str">
        <f t="shared" si="29"/>
        <v>0</v>
      </c>
      <c r="W92" s="158">
        <f t="shared" si="30"/>
        <v>0</v>
      </c>
      <c r="X92" s="158">
        <f t="shared" si="37"/>
        <v>0</v>
      </c>
      <c r="AF92" s="128">
        <f t="shared" si="31"/>
        <v>0</v>
      </c>
      <c r="BR92" s="131"/>
      <c r="BS92" s="131">
        <f>_xlfn.XLOOKUP(K92,[1]库销表!$F:$F,[1]库销表!$L:$L)</f>
        <v>0</v>
      </c>
      <c r="BT92" s="131">
        <f t="shared" si="32"/>
        <v>0</v>
      </c>
      <c r="CW92" s="131">
        <f>_xlfn.XLOOKUP(K92,[1]库销表!$F:$F,[1]库销表!$IE:$IE)</f>
        <v>0</v>
      </c>
      <c r="CX92" s="131">
        <f>_xlfn.XLOOKUP(K92,[1]库销表!$F:$F,[1]库销表!$IF:$IF)</f>
        <v>0</v>
      </c>
      <c r="CY92" s="186">
        <f>_xlfn.XLOOKUP(K92,[1]库销表!$F:$F,[1]库销表!$FL:$FL)</f>
        <v>0</v>
      </c>
      <c r="CZ92" s="131">
        <f>_xlfn.XLOOKUP(K92,数据更新表!E:E,数据更新表!F:F,0)</f>
        <v>0</v>
      </c>
      <c r="DA92" s="131">
        <v>0</v>
      </c>
      <c r="DB92" s="131" t="e">
        <f>_xlfn.XLOOKUP(K92,数据更新表!E:E,数据更新表!G:G)</f>
        <v>#N/A</v>
      </c>
      <c r="DC92" s="187">
        <f>_xlfn.XLOOKUP(L92,数据更新表!Z:Z,数据更新表!AH:AH)</f>
        <v>0</v>
      </c>
      <c r="DD92" s="131">
        <f>_xlfn.XLOOKUP(L92,数据更新表!Z:Z,数据更新表!AE:AE)</f>
        <v>0</v>
      </c>
      <c r="DE92" s="131">
        <f>_xlfn.XLOOKUP(L92,数据更新表!Z:Z,数据更新表!AF:AF)</f>
        <v>0</v>
      </c>
      <c r="DF92" s="131" t="e">
        <f>_xlfn.XLOOKUP(K92,数据更新表!Z:Z,数据更新表!AG:AG)</f>
        <v>#N/A</v>
      </c>
      <c r="DG92" s="128">
        <f>_xlfn.XLOOKUP(L92,数据更新表!Z:Z,数据更新表!AD:AD)</f>
        <v>0</v>
      </c>
      <c r="DH92" s="128">
        <f>_xlfn.XLOOKUP(L92,数据更新表!Z:Z,数据更新表!AA:AA)</f>
        <v>0</v>
      </c>
      <c r="DI92" s="128">
        <f>_xlfn.XLOOKUP(L92,数据更新表!Z:Z,数据更新表!AB:AB)</f>
        <v>0</v>
      </c>
      <c r="DJ92" s="128">
        <f>_xlfn.XLOOKUP(L92,数据更新表!Z:Z,数据更新表!AC:AC)</f>
        <v>0</v>
      </c>
      <c r="DK92" s="133">
        <f>_xlfn.XLOOKUP(L92,数据更新表!Z:Z,数据更新表!AI:AI)</f>
        <v>0</v>
      </c>
      <c r="DL92" s="133">
        <f>_xlfn.XLOOKUP(L92,数据更新表!AL:AL,数据更新表!AM:AM)</f>
        <v>0</v>
      </c>
      <c r="DM92" s="131">
        <f>_xlfn.XLOOKUP(L92,数据更新表!Z:Z,数据更新表!AJ:AJ)</f>
        <v>0</v>
      </c>
      <c r="EE92" s="128">
        <v>99</v>
      </c>
      <c r="EF92" s="128"/>
      <c r="EG92" s="158">
        <v>5.2</v>
      </c>
      <c r="EH92" s="191">
        <f t="shared" si="39"/>
        <v>1.63690082498414</v>
      </c>
      <c r="EI92" s="158">
        <f t="shared" si="40"/>
        <v>13.572</v>
      </c>
      <c r="EJ92" s="190">
        <f t="shared" si="33"/>
        <v>22.5524625</v>
      </c>
      <c r="EK92" s="191">
        <f t="shared" si="41"/>
        <v>0.227802651515151</v>
      </c>
      <c r="EL92" s="190">
        <f t="shared" si="44"/>
        <v>0.2055375</v>
      </c>
      <c r="EM92" s="158" t="str">
        <f t="shared" si="42"/>
        <v>否</v>
      </c>
      <c r="EN92" s="158">
        <f t="shared" si="43"/>
        <v>4.95</v>
      </c>
      <c r="EO92" s="190">
        <f t="shared" si="34"/>
        <v>17.325</v>
      </c>
      <c r="EP92" s="182">
        <f>IF(EE92&lt;299,IF(EE92&lt;99,25,IF(EE92&lt;=149,30,IF(EE92&lt;=299,37,85))),IF(EE92&lt;=498,_xlfn.XLOOKUP(EW92,运费表!A:A,运费表!C:C,"重量超限",-1),_xlfn.XLOOKUP(EW92,运费表!A:A,运费表!D:D,"重量超限",-1)))</f>
        <v>30</v>
      </c>
      <c r="EQ92" s="182">
        <f t="shared" si="35"/>
        <v>10.395</v>
      </c>
      <c r="ER92" s="158">
        <f>_xlfn.XLOOKUP(K92,[4]目录表!$H:$H,[4]目录表!$X:$X)</f>
        <v>0.1</v>
      </c>
      <c r="ES92" s="158">
        <f>_xlfn.XLOOKUP(K92,[4]目录表!$H:$H,[4]目录表!$Y:$Y)</f>
        <v>10.5</v>
      </c>
      <c r="ET92" s="158">
        <f>_xlfn.XLOOKUP(K92,[4]目录表!$H:$H,[4]目录表!$Z:$Z)</f>
        <v>2.5</v>
      </c>
      <c r="EU92" s="158">
        <f>_xlfn.XLOOKUP(K92,[4]目录表!$H:$H,[4]目录表!$AA:$AA)</f>
        <v>1</v>
      </c>
      <c r="EV92" s="158">
        <f t="shared" si="45"/>
        <v>0.00525</v>
      </c>
      <c r="EW92" s="158">
        <f t="shared" si="36"/>
        <v>0.1</v>
      </c>
      <c r="EX92" s="193">
        <f>_xlfn.XLOOKUP(K92,[2]目录表!$H:$H,[2]目录表!$AB:$AB)</f>
        <v>2.625e-5</v>
      </c>
      <c r="EZ92" s="194">
        <f t="shared" si="38"/>
        <v>0</v>
      </c>
      <c r="FK92" s="128" t="str">
        <f>_xlfn.XLOOKUP(K92,[2]目录表!$H:$H,[2]目录表!$AJ:$AJ)</f>
        <v>散货</v>
      </c>
    </row>
    <row r="93" customHeight="1" spans="2:167">
      <c r="B93" s="208" t="s">
        <v>567</v>
      </c>
      <c r="C93" s="158">
        <v>7</v>
      </c>
      <c r="D93" s="158">
        <v>31</v>
      </c>
      <c r="E93" s="181">
        <v>46038</v>
      </c>
      <c r="G93" s="128" t="s">
        <v>336</v>
      </c>
      <c r="H93" s="129" t="s">
        <v>568</v>
      </c>
      <c r="J93" s="203" t="s">
        <v>569</v>
      </c>
      <c r="K93" s="128" t="s">
        <v>570</v>
      </c>
      <c r="M93" s="189" t="s">
        <v>183</v>
      </c>
      <c r="N93" s="131">
        <f>_xlfn.XLOOKUP(L93,数据更新表!J:J,数据更新表!K:K)</f>
        <v>0</v>
      </c>
      <c r="O93" s="131" t="str">
        <f>IFERROR(_xlfn.XLOOKUP(K93,数据更新表!A:A,数据更新表!B:B),"0")</f>
        <v>0</v>
      </c>
      <c r="P93" s="131">
        <f>_xlfn.XLOOKUP(K93,[1]库销表!$F:$F,[1]库销表!$L:$L)</f>
        <v>0</v>
      </c>
      <c r="Q93" s="184" t="e">
        <f t="shared" si="28"/>
        <v>#DIV/0!</v>
      </c>
      <c r="S93" s="128" t="e">
        <f>_xlfn.XLOOKUP(K93,数据更新表!R:R,数据更新表!S:S)</f>
        <v>#N/A</v>
      </c>
      <c r="T93" s="128" t="e">
        <f>_xlfn.XLOOKUP(K93,数据更新表!V:V,数据更新表!W:W)</f>
        <v>#N/A</v>
      </c>
      <c r="V93" s="185" t="str">
        <f t="shared" si="29"/>
        <v>0</v>
      </c>
      <c r="W93" s="158">
        <f t="shared" si="30"/>
        <v>0</v>
      </c>
      <c r="X93" s="158">
        <f t="shared" si="37"/>
        <v>0</v>
      </c>
      <c r="AF93" s="128">
        <f t="shared" si="31"/>
        <v>0</v>
      </c>
      <c r="BR93" s="131"/>
      <c r="BS93" s="131">
        <f>_xlfn.XLOOKUP(K93,[1]库销表!$F:$F,[1]库销表!$L:$L)</f>
        <v>0</v>
      </c>
      <c r="BT93" s="131">
        <f t="shared" si="32"/>
        <v>0</v>
      </c>
      <c r="CW93" s="131">
        <f>_xlfn.XLOOKUP(K93,[1]库销表!$F:$F,[1]库销表!$IE:$IE)</f>
        <v>0</v>
      </c>
      <c r="CX93" s="131">
        <f>_xlfn.XLOOKUP(K93,[1]库销表!$F:$F,[1]库销表!$IF:$IF)</f>
        <v>0</v>
      </c>
      <c r="CY93" s="186">
        <f>_xlfn.XLOOKUP(K93,[1]库销表!$F:$F,[1]库销表!$FL:$FL)</f>
        <v>0</v>
      </c>
      <c r="CZ93" s="131">
        <f>_xlfn.XLOOKUP(K93,数据更新表!E:E,数据更新表!F:F,0)</f>
        <v>0</v>
      </c>
      <c r="DA93" s="131">
        <v>0</v>
      </c>
      <c r="DB93" s="131" t="e">
        <f>_xlfn.XLOOKUP(K93,数据更新表!E:E,数据更新表!G:G)</f>
        <v>#N/A</v>
      </c>
      <c r="DC93" s="187">
        <f>_xlfn.XLOOKUP(L93,数据更新表!Z:Z,数据更新表!AH:AH)</f>
        <v>0</v>
      </c>
      <c r="DD93" s="131">
        <f>_xlfn.XLOOKUP(L93,数据更新表!Z:Z,数据更新表!AE:AE)</f>
        <v>0</v>
      </c>
      <c r="DE93" s="131">
        <f>_xlfn.XLOOKUP(L93,数据更新表!Z:Z,数据更新表!AF:AF)</f>
        <v>0</v>
      </c>
      <c r="DF93" s="131" t="e">
        <f>_xlfn.XLOOKUP(K93,数据更新表!Z:Z,数据更新表!AG:AG)</f>
        <v>#N/A</v>
      </c>
      <c r="DG93" s="128">
        <f>_xlfn.XLOOKUP(L93,数据更新表!Z:Z,数据更新表!AD:AD)</f>
        <v>0</v>
      </c>
      <c r="DH93" s="128">
        <f>_xlfn.XLOOKUP(L93,数据更新表!Z:Z,数据更新表!AA:AA)</f>
        <v>0</v>
      </c>
      <c r="DI93" s="128">
        <f>_xlfn.XLOOKUP(L93,数据更新表!Z:Z,数据更新表!AB:AB)</f>
        <v>0</v>
      </c>
      <c r="DJ93" s="128">
        <f>_xlfn.XLOOKUP(L93,数据更新表!Z:Z,数据更新表!AC:AC)</f>
        <v>0</v>
      </c>
      <c r="DK93" s="133">
        <f>_xlfn.XLOOKUP(L93,数据更新表!Z:Z,数据更新表!AI:AI)</f>
        <v>0</v>
      </c>
      <c r="DL93" s="133">
        <f>_xlfn.XLOOKUP(L93,数据更新表!AL:AL,数据更新表!AM:AM)</f>
        <v>0</v>
      </c>
      <c r="DM93" s="131">
        <f>_xlfn.XLOOKUP(L93,数据更新表!Z:Z,数据更新表!AJ:AJ)</f>
        <v>0</v>
      </c>
      <c r="EE93" s="128">
        <v>109</v>
      </c>
      <c r="EF93" s="128"/>
      <c r="EG93" s="158">
        <v>7</v>
      </c>
      <c r="EH93" s="191">
        <f t="shared" si="39"/>
        <v>1.2894404053459</v>
      </c>
      <c r="EI93" s="158">
        <f t="shared" si="40"/>
        <v>18.27</v>
      </c>
      <c r="EJ93" s="190">
        <f t="shared" si="33"/>
        <v>24.23501416</v>
      </c>
      <c r="EK93" s="191">
        <f t="shared" si="41"/>
        <v>0.222339579449541</v>
      </c>
      <c r="EL93" s="190">
        <f t="shared" si="44"/>
        <v>0.52498584</v>
      </c>
      <c r="EM93" s="158" t="str">
        <f t="shared" si="42"/>
        <v>否</v>
      </c>
      <c r="EN93" s="158">
        <f t="shared" si="43"/>
        <v>5.45</v>
      </c>
      <c r="EO93" s="190">
        <f t="shared" si="34"/>
        <v>19.075</v>
      </c>
      <c r="EP93" s="182">
        <f>IF(EE93&lt;299,IF(EE93&lt;99,25,IF(EE93&lt;=149,30,IF(EE93&lt;=299,37,85))),IF(EE93&lt;=498,_xlfn.XLOOKUP(EW93,运费表!A:A,运费表!C:C,"重量超限",-1),_xlfn.XLOOKUP(EW93,运费表!A:A,运费表!D:D,"重量超限",-1)))</f>
        <v>30</v>
      </c>
      <c r="EQ93" s="182">
        <f t="shared" si="35"/>
        <v>11.445</v>
      </c>
      <c r="ER93" s="158">
        <f>_xlfn.XLOOKUP(K93,[4]目录表!$H:$H,[4]目录表!$X:$X)</f>
        <v>0.105</v>
      </c>
      <c r="ES93" s="158">
        <f>_xlfn.XLOOKUP(K93,[4]目录表!$H:$H,[4]目录表!$Y:$Y)</f>
        <v>3.4</v>
      </c>
      <c r="ET93" s="158">
        <f>_xlfn.XLOOKUP(K93,[4]目录表!$H:$H,[4]目录表!$Z:$Z)</f>
        <v>3.4</v>
      </c>
      <c r="EU93" s="158">
        <f>_xlfn.XLOOKUP(K93,[4]目录表!$H:$H,[4]目录表!$AA:$AA)</f>
        <v>5.8</v>
      </c>
      <c r="EV93" s="158">
        <f t="shared" si="45"/>
        <v>0.0134096</v>
      </c>
      <c r="EW93" s="158">
        <f t="shared" si="36"/>
        <v>0.105</v>
      </c>
      <c r="EX93" s="193">
        <f>_xlfn.XLOOKUP(K93,[2]目录表!$H:$H,[2]目录表!$AB:$AB)</f>
        <v>6.7048e-5</v>
      </c>
      <c r="EZ93" s="194">
        <f t="shared" si="38"/>
        <v>0</v>
      </c>
      <c r="FK93" s="128" t="str">
        <f>_xlfn.XLOOKUP(K93,[2]目录表!$H:$H,[2]目录表!$AJ:$AJ)</f>
        <v>散货</v>
      </c>
    </row>
    <row r="94" customHeight="1" spans="2:167">
      <c r="B94" s="208" t="s">
        <v>571</v>
      </c>
      <c r="C94" s="158">
        <v>24</v>
      </c>
      <c r="D94" s="158">
        <v>59</v>
      </c>
      <c r="E94" s="181">
        <v>46049</v>
      </c>
      <c r="G94" s="128" t="s">
        <v>572</v>
      </c>
      <c r="H94" s="129" t="s">
        <v>573</v>
      </c>
      <c r="J94" s="203" t="s">
        <v>574</v>
      </c>
      <c r="K94" s="128" t="s">
        <v>575</v>
      </c>
      <c r="M94" s="189" t="s">
        <v>183</v>
      </c>
      <c r="N94" s="131">
        <f>_xlfn.XLOOKUP(L94,数据更新表!J:J,数据更新表!K:K)</f>
        <v>0</v>
      </c>
      <c r="O94" s="131" t="str">
        <f>IFERROR(_xlfn.XLOOKUP(K94,数据更新表!A:A,数据更新表!B:B),"0")</f>
        <v>0</v>
      </c>
      <c r="P94" s="131">
        <f>_xlfn.XLOOKUP(K94,[1]库销表!$F:$F,[1]库销表!$L:$L)</f>
        <v>0</v>
      </c>
      <c r="Q94" s="184" t="e">
        <f t="shared" si="28"/>
        <v>#DIV/0!</v>
      </c>
      <c r="S94" s="128" t="e">
        <f>_xlfn.XLOOKUP(K94,数据更新表!R:R,数据更新表!S:S)</f>
        <v>#N/A</v>
      </c>
      <c r="T94" s="128" t="e">
        <f>_xlfn.XLOOKUP(K94,数据更新表!V:V,数据更新表!W:W)</f>
        <v>#N/A</v>
      </c>
      <c r="V94" s="185" t="str">
        <f t="shared" si="29"/>
        <v>0</v>
      </c>
      <c r="W94" s="158">
        <f t="shared" si="30"/>
        <v>0</v>
      </c>
      <c r="X94" s="158">
        <f t="shared" si="37"/>
        <v>0</v>
      </c>
      <c r="AF94" s="128">
        <f t="shared" si="31"/>
        <v>0</v>
      </c>
      <c r="BR94" s="131"/>
      <c r="BS94" s="131">
        <f>_xlfn.XLOOKUP(K94,[1]库销表!$F:$F,[1]库销表!$L:$L)</f>
        <v>0</v>
      </c>
      <c r="BT94" s="131">
        <f t="shared" si="32"/>
        <v>0</v>
      </c>
      <c r="CW94" s="131">
        <f>_xlfn.XLOOKUP(K94,[1]库销表!$F:$F,[1]库销表!$IE:$IE)</f>
        <v>0</v>
      </c>
      <c r="CX94" s="131">
        <f>_xlfn.XLOOKUP(K94,[1]库销表!$F:$F,[1]库销表!$IF:$IF)</f>
        <v>0</v>
      </c>
      <c r="CY94" s="186">
        <f>_xlfn.XLOOKUP(K94,[1]库销表!$F:$F,[1]库销表!$FL:$FL)</f>
        <v>0</v>
      </c>
      <c r="CZ94" s="131">
        <f>_xlfn.XLOOKUP(K94,数据更新表!E:E,数据更新表!F:F,0)</f>
        <v>0</v>
      </c>
      <c r="DA94" s="131">
        <v>0</v>
      </c>
      <c r="DB94" s="131" t="e">
        <f>_xlfn.XLOOKUP(K94,数据更新表!E:E,数据更新表!G:G)</f>
        <v>#N/A</v>
      </c>
      <c r="DC94" s="187">
        <f>_xlfn.XLOOKUP(L94,数据更新表!Z:Z,数据更新表!AH:AH)</f>
        <v>0</v>
      </c>
      <c r="DD94" s="131">
        <f>_xlfn.XLOOKUP(L94,数据更新表!Z:Z,数据更新表!AE:AE)</f>
        <v>0</v>
      </c>
      <c r="DE94" s="131">
        <f>_xlfn.XLOOKUP(L94,数据更新表!Z:Z,数据更新表!AF:AF)</f>
        <v>0</v>
      </c>
      <c r="DF94" s="131" t="e">
        <f>_xlfn.XLOOKUP(K94,数据更新表!Z:Z,数据更新表!AG:AG)</f>
        <v>#N/A</v>
      </c>
      <c r="DG94" s="128">
        <f>_xlfn.XLOOKUP(L94,数据更新表!Z:Z,数据更新表!AD:AD)</f>
        <v>0</v>
      </c>
      <c r="DH94" s="128">
        <f>_xlfn.XLOOKUP(L94,数据更新表!Z:Z,数据更新表!AA:AA)</f>
        <v>0</v>
      </c>
      <c r="DI94" s="128">
        <f>_xlfn.XLOOKUP(L94,数据更新表!Z:Z,数据更新表!AB:AB)</f>
        <v>0</v>
      </c>
      <c r="DJ94" s="128">
        <f>_xlfn.XLOOKUP(L94,数据更新表!Z:Z,数据更新表!AC:AC)</f>
        <v>0</v>
      </c>
      <c r="DK94" s="133">
        <f>_xlfn.XLOOKUP(L94,数据更新表!Z:Z,数据更新表!AI:AI)</f>
        <v>0</v>
      </c>
      <c r="DL94" s="133">
        <f>_xlfn.XLOOKUP(L94,数据更新表!AL:AL,数据更新表!AM:AM)</f>
        <v>0</v>
      </c>
      <c r="DM94" s="131">
        <f>_xlfn.XLOOKUP(L94,数据更新表!Z:Z,数据更新表!AJ:AJ)</f>
        <v>0</v>
      </c>
      <c r="EE94" s="128">
        <v>298</v>
      </c>
      <c r="EF94" s="128"/>
      <c r="EG94" s="158">
        <v>31</v>
      </c>
      <c r="EH94" s="191">
        <f t="shared" si="39"/>
        <v>0.719223147047166</v>
      </c>
      <c r="EI94" s="158">
        <f t="shared" si="40"/>
        <v>80.91</v>
      </c>
      <c r="EJ94" s="190">
        <f t="shared" si="33"/>
        <v>68.0475</v>
      </c>
      <c r="EK94" s="191">
        <f t="shared" si="41"/>
        <v>0.228347315436242</v>
      </c>
      <c r="EL94" s="190">
        <f t="shared" si="44"/>
        <v>13.7025</v>
      </c>
      <c r="EM94" s="158" t="str">
        <f t="shared" si="42"/>
        <v>否</v>
      </c>
      <c r="EN94" s="158">
        <f t="shared" si="43"/>
        <v>14.9</v>
      </c>
      <c r="EO94" s="190">
        <f t="shared" si="34"/>
        <v>52.15</v>
      </c>
      <c r="EP94" s="182">
        <f>IF(EE94&lt;299,IF(EE94&lt;99,25,IF(EE94&lt;=149,30,IF(EE94&lt;=299,37,85))),IF(EE94&lt;=498,_xlfn.XLOOKUP(EW94,运费表!A:A,运费表!C:C,"重量超限",-1),_xlfn.XLOOKUP(EW94,运费表!A:A,运费表!D:D,"重量超限",-1)))</f>
        <v>37</v>
      </c>
      <c r="EQ94" s="182">
        <f t="shared" si="35"/>
        <v>31.29</v>
      </c>
      <c r="ER94" s="158">
        <f>_xlfn.XLOOKUP(K94,[4]目录表!$H:$H,[4]目录表!$X:$X)</f>
        <v>0.23</v>
      </c>
      <c r="ES94" s="158">
        <f>_xlfn.XLOOKUP(K94,[4]目录表!$H:$H,[4]目录表!$Y:$Y)</f>
        <v>17.5</v>
      </c>
      <c r="ET94" s="158">
        <f>_xlfn.XLOOKUP(K94,[4]目录表!$H:$H,[4]目录表!$Z:$Z)</f>
        <v>12.5</v>
      </c>
      <c r="EU94" s="158">
        <f>_xlfn.XLOOKUP(K94,[4]目录表!$H:$H,[4]目录表!$AA:$AA)</f>
        <v>8</v>
      </c>
      <c r="EV94" s="158">
        <f t="shared" si="45"/>
        <v>0.35</v>
      </c>
      <c r="EW94" s="158">
        <f t="shared" si="36"/>
        <v>0.35</v>
      </c>
      <c r="EX94" s="193">
        <f>_xlfn.XLOOKUP(K94,[2]目录表!$H:$H,[2]目录表!$AB:$AB)</f>
        <v>0.00175</v>
      </c>
      <c r="EZ94" s="194">
        <f t="shared" si="38"/>
        <v>0</v>
      </c>
      <c r="FK94" s="128" t="str">
        <f>_xlfn.XLOOKUP(K94,[2]目录表!$H:$H,[2]目录表!$AJ:$AJ)</f>
        <v>散货</v>
      </c>
    </row>
    <row r="95" customHeight="1" spans="2:167">
      <c r="B95" s="208" t="s">
        <v>576</v>
      </c>
      <c r="C95" s="158">
        <v>28</v>
      </c>
      <c r="D95" s="158">
        <v>90</v>
      </c>
      <c r="E95" s="181">
        <v>46048</v>
      </c>
      <c r="G95" s="128" t="s">
        <v>577</v>
      </c>
      <c r="H95" s="129" t="s">
        <v>578</v>
      </c>
      <c r="J95" s="203" t="s">
        <v>579</v>
      </c>
      <c r="K95" s="128" t="s">
        <v>580</v>
      </c>
      <c r="M95" s="189" t="s">
        <v>183</v>
      </c>
      <c r="N95" s="131">
        <f>_xlfn.XLOOKUP(L95,数据更新表!J:J,数据更新表!K:K)</f>
        <v>0</v>
      </c>
      <c r="O95" s="131" t="str">
        <f>IFERROR(_xlfn.XLOOKUP(K95,数据更新表!A:A,数据更新表!B:B),"0")</f>
        <v>0</v>
      </c>
      <c r="P95" s="131">
        <f>_xlfn.XLOOKUP(K95,[1]库销表!$F:$F,[1]库销表!$L:$L)</f>
        <v>0</v>
      </c>
      <c r="Q95" s="184" t="e">
        <f t="shared" si="28"/>
        <v>#DIV/0!</v>
      </c>
      <c r="S95" s="128" t="e">
        <f>_xlfn.XLOOKUP(K95,数据更新表!R:R,数据更新表!S:S)</f>
        <v>#N/A</v>
      </c>
      <c r="T95" s="128" t="e">
        <f>_xlfn.XLOOKUP(K95,数据更新表!V:V,数据更新表!W:W)</f>
        <v>#N/A</v>
      </c>
      <c r="V95" s="185" t="str">
        <f t="shared" si="29"/>
        <v>0</v>
      </c>
      <c r="W95" s="158">
        <f t="shared" si="30"/>
        <v>0</v>
      </c>
      <c r="X95" s="158">
        <f t="shared" si="37"/>
        <v>0</v>
      </c>
      <c r="AF95" s="128">
        <f t="shared" si="31"/>
        <v>0</v>
      </c>
      <c r="BR95" s="131"/>
      <c r="BS95" s="131">
        <f>_xlfn.XLOOKUP(K95,[1]库销表!$F:$F,[1]库销表!$L:$L)</f>
        <v>0</v>
      </c>
      <c r="BT95" s="131">
        <f t="shared" si="32"/>
        <v>0</v>
      </c>
      <c r="CW95" s="131">
        <f>_xlfn.XLOOKUP(K95,[1]库销表!$F:$F,[1]库销表!$IE:$IE)</f>
        <v>0</v>
      </c>
      <c r="CX95" s="131">
        <f>_xlfn.XLOOKUP(K95,[1]库销表!$F:$F,[1]库销表!$IF:$IF)</f>
        <v>0</v>
      </c>
      <c r="CY95" s="186">
        <f>_xlfn.XLOOKUP(K95,[1]库销表!$F:$F,[1]库销表!$FL:$FL)</f>
        <v>0</v>
      </c>
      <c r="CZ95" s="131">
        <f>_xlfn.XLOOKUP(K95,数据更新表!E:E,数据更新表!F:F,0)</f>
        <v>0</v>
      </c>
      <c r="DA95" s="131">
        <v>0</v>
      </c>
      <c r="DB95" s="131" t="e">
        <f>_xlfn.XLOOKUP(K95,数据更新表!E:E,数据更新表!G:G)</f>
        <v>#N/A</v>
      </c>
      <c r="DC95" s="187">
        <f>_xlfn.XLOOKUP(L95,数据更新表!Z:Z,数据更新表!AH:AH)</f>
        <v>0</v>
      </c>
      <c r="DD95" s="131">
        <f>_xlfn.XLOOKUP(L95,数据更新表!Z:Z,数据更新表!AE:AE)</f>
        <v>0</v>
      </c>
      <c r="DE95" s="131">
        <f>_xlfn.XLOOKUP(L95,数据更新表!Z:Z,数据更新表!AF:AF)</f>
        <v>0</v>
      </c>
      <c r="DF95" s="131" t="e">
        <f>_xlfn.XLOOKUP(K95,数据更新表!Z:Z,数据更新表!AG:AG)</f>
        <v>#N/A</v>
      </c>
      <c r="DG95" s="128">
        <f>_xlfn.XLOOKUP(L95,数据更新表!Z:Z,数据更新表!AD:AD)</f>
        <v>0</v>
      </c>
      <c r="DH95" s="128">
        <f>_xlfn.XLOOKUP(L95,数据更新表!Z:Z,数据更新表!AA:AA)</f>
        <v>0</v>
      </c>
      <c r="DI95" s="128">
        <f>_xlfn.XLOOKUP(L95,数据更新表!Z:Z,数据更新表!AB:AB)</f>
        <v>0</v>
      </c>
      <c r="DJ95" s="128">
        <f>_xlfn.XLOOKUP(L95,数据更新表!Z:Z,数据更新表!AC:AC)</f>
        <v>0</v>
      </c>
      <c r="DK95" s="133">
        <f>_xlfn.XLOOKUP(L95,数据更新表!Z:Z,数据更新表!AI:AI)</f>
        <v>0</v>
      </c>
      <c r="DL95" s="133">
        <f>_xlfn.XLOOKUP(L95,数据更新表!AL:AL,数据更新表!AM:AM)</f>
        <v>0</v>
      </c>
      <c r="DM95" s="131">
        <f>_xlfn.XLOOKUP(L95,数据更新表!Z:Z,数据更新表!AJ:AJ)</f>
        <v>0</v>
      </c>
      <c r="EE95" s="128">
        <v>119</v>
      </c>
      <c r="EF95" s="128"/>
      <c r="EG95" s="158">
        <v>7.9</v>
      </c>
      <c r="EH95" s="191">
        <f t="shared" si="39"/>
        <v>1.00696667246802</v>
      </c>
      <c r="EI95" s="158">
        <f t="shared" si="40"/>
        <v>20.619</v>
      </c>
      <c r="EJ95" s="190">
        <f t="shared" si="33"/>
        <v>24.9513125</v>
      </c>
      <c r="EK95" s="191">
        <f t="shared" si="41"/>
        <v>0.209674894957983</v>
      </c>
      <c r="EL95" s="190">
        <f t="shared" si="44"/>
        <v>4.1596875</v>
      </c>
      <c r="EM95" s="158" t="str">
        <f t="shared" si="42"/>
        <v>否</v>
      </c>
      <c r="EN95" s="158">
        <f t="shared" si="43"/>
        <v>5.95</v>
      </c>
      <c r="EO95" s="190">
        <f t="shared" si="34"/>
        <v>20.825</v>
      </c>
      <c r="EP95" s="182">
        <f>IF(EE95&lt;299,IF(EE95&lt;99,25,IF(EE95&lt;=149,30,IF(EE95&lt;=299,37,85))),IF(EE95&lt;=498,_xlfn.XLOOKUP(EW95,运费表!A:A,运费表!C:C,"重量超限",-1),_xlfn.XLOOKUP(EW95,运费表!A:A,运费表!D:D,"重量超限",-1)))</f>
        <v>30</v>
      </c>
      <c r="EQ95" s="182">
        <f t="shared" si="35"/>
        <v>12.495</v>
      </c>
      <c r="ER95" s="158">
        <f>_xlfn.XLOOKUP(K95,[4]目录表!$H:$H,[4]目录表!$X:$X)</f>
        <v>0.08</v>
      </c>
      <c r="ES95" s="158">
        <f>_xlfn.XLOOKUP(K95,[4]目录表!$H:$H,[4]目录表!$Y:$Y)</f>
        <v>25</v>
      </c>
      <c r="ET95" s="158">
        <f>_xlfn.XLOOKUP(K95,[4]目录表!$H:$H,[4]目录表!$Z:$Z)</f>
        <v>8.5</v>
      </c>
      <c r="EU95" s="158">
        <f>_xlfn.XLOOKUP(K95,[4]目录表!$H:$H,[4]目录表!$AA:$AA)</f>
        <v>2.5</v>
      </c>
      <c r="EV95" s="158">
        <f t="shared" si="45"/>
        <v>0.10625</v>
      </c>
      <c r="EW95" s="158">
        <f t="shared" si="36"/>
        <v>0.10625</v>
      </c>
      <c r="EX95" s="193">
        <f>_xlfn.XLOOKUP(K95,[2]目录表!$H:$H,[2]目录表!$AB:$AB)</f>
        <v>0.00053125</v>
      </c>
      <c r="EZ95" s="194">
        <f t="shared" si="38"/>
        <v>0</v>
      </c>
      <c r="FK95" s="128" t="str">
        <f>_xlfn.XLOOKUP(K95,[2]目录表!$H:$H,[2]目录表!$AJ:$AJ)</f>
        <v>散货</v>
      </c>
    </row>
    <row r="96" customHeight="1" spans="2:167">
      <c r="B96" s="208" t="s">
        <v>581</v>
      </c>
      <c r="C96" s="158">
        <v>10</v>
      </c>
      <c r="D96" s="158">
        <v>32</v>
      </c>
      <c r="E96" s="181">
        <v>46038</v>
      </c>
      <c r="G96" s="128" t="s">
        <v>582</v>
      </c>
      <c r="H96" s="129" t="s">
        <v>582</v>
      </c>
      <c r="J96" s="203" t="s">
        <v>583</v>
      </c>
      <c r="K96" s="128" t="s">
        <v>584</v>
      </c>
      <c r="M96" s="189" t="s">
        <v>183</v>
      </c>
      <c r="N96" s="131">
        <f>_xlfn.XLOOKUP(L96,数据更新表!J:J,数据更新表!K:K)</f>
        <v>0</v>
      </c>
      <c r="O96" s="131" t="str">
        <f>IFERROR(_xlfn.XLOOKUP(K96,数据更新表!A:A,数据更新表!B:B),"0")</f>
        <v>0</v>
      </c>
      <c r="P96" s="131">
        <f>_xlfn.XLOOKUP(K96,[1]库销表!$F:$F,[1]库销表!$L:$L)</f>
        <v>0</v>
      </c>
      <c r="Q96" s="184" t="e">
        <f t="shared" si="28"/>
        <v>#DIV/0!</v>
      </c>
      <c r="S96" s="128" t="e">
        <f>_xlfn.XLOOKUP(K96,数据更新表!R:R,数据更新表!S:S)</f>
        <v>#N/A</v>
      </c>
      <c r="T96" s="128" t="e">
        <f>_xlfn.XLOOKUP(K96,数据更新表!V:V,数据更新表!W:W)</f>
        <v>#N/A</v>
      </c>
      <c r="V96" s="185" t="str">
        <f t="shared" si="29"/>
        <v>0</v>
      </c>
      <c r="W96" s="158">
        <f t="shared" si="30"/>
        <v>0</v>
      </c>
      <c r="X96" s="158">
        <f t="shared" si="37"/>
        <v>0</v>
      </c>
      <c r="AF96" s="128">
        <f t="shared" si="31"/>
        <v>0</v>
      </c>
      <c r="BR96" s="131"/>
      <c r="BS96" s="131">
        <f>_xlfn.XLOOKUP(K96,[1]库销表!$F:$F,[1]库销表!$L:$L)</f>
        <v>0</v>
      </c>
      <c r="BT96" s="131">
        <f t="shared" si="32"/>
        <v>0</v>
      </c>
      <c r="CW96" s="131">
        <f>_xlfn.XLOOKUP(K96,[1]库销表!$F:$F,[1]库销表!$IE:$IE)</f>
        <v>0</v>
      </c>
      <c r="CX96" s="131">
        <f>_xlfn.XLOOKUP(K96,[1]库销表!$F:$F,[1]库销表!$IF:$IF)</f>
        <v>0</v>
      </c>
      <c r="CY96" s="186">
        <f>_xlfn.XLOOKUP(K96,[1]库销表!$F:$F,[1]库销表!$FL:$FL)</f>
        <v>0</v>
      </c>
      <c r="CZ96" s="131">
        <f>_xlfn.XLOOKUP(K96,数据更新表!E:E,数据更新表!F:F,0)</f>
        <v>0</v>
      </c>
      <c r="DA96" s="131">
        <v>0</v>
      </c>
      <c r="DB96" s="131" t="e">
        <f>_xlfn.XLOOKUP(K96,数据更新表!E:E,数据更新表!G:G)</f>
        <v>#N/A</v>
      </c>
      <c r="DC96" s="187">
        <f>_xlfn.XLOOKUP(L96,数据更新表!Z:Z,数据更新表!AH:AH)</f>
        <v>0</v>
      </c>
      <c r="DD96" s="131">
        <f>_xlfn.XLOOKUP(L96,数据更新表!Z:Z,数据更新表!AE:AE)</f>
        <v>0</v>
      </c>
      <c r="DE96" s="131">
        <f>_xlfn.XLOOKUP(L96,数据更新表!Z:Z,数据更新表!AF:AF)</f>
        <v>0</v>
      </c>
      <c r="DF96" s="131" t="e">
        <f>_xlfn.XLOOKUP(K96,数据更新表!Z:Z,数据更新表!AG:AG)</f>
        <v>#N/A</v>
      </c>
      <c r="DG96" s="128">
        <f>_xlfn.XLOOKUP(L96,数据更新表!Z:Z,数据更新表!AD:AD)</f>
        <v>0</v>
      </c>
      <c r="DH96" s="128">
        <f>_xlfn.XLOOKUP(L96,数据更新表!Z:Z,数据更新表!AA:AA)</f>
        <v>0</v>
      </c>
      <c r="DI96" s="128">
        <f>_xlfn.XLOOKUP(L96,数据更新表!Z:Z,数据更新表!AB:AB)</f>
        <v>0</v>
      </c>
      <c r="DJ96" s="128">
        <f>_xlfn.XLOOKUP(L96,数据更新表!Z:Z,数据更新表!AC:AC)</f>
        <v>0</v>
      </c>
      <c r="DK96" s="133">
        <f>_xlfn.XLOOKUP(L96,数据更新表!Z:Z,数据更新表!AI:AI)</f>
        <v>0</v>
      </c>
      <c r="DL96" s="133">
        <f>_xlfn.XLOOKUP(L96,数据更新表!AL:AL,数据更新表!AM:AM)</f>
        <v>0</v>
      </c>
      <c r="DM96" s="131">
        <f>_xlfn.XLOOKUP(L96,数据更新表!Z:Z,数据更新表!AJ:AJ)</f>
        <v>0</v>
      </c>
      <c r="EE96" s="128">
        <v>95</v>
      </c>
      <c r="EF96" s="128"/>
      <c r="EG96" s="158">
        <v>2</v>
      </c>
      <c r="EH96" s="191">
        <f t="shared" si="39"/>
        <v>1.98316460893915</v>
      </c>
      <c r="EI96" s="158">
        <f t="shared" si="40"/>
        <v>5.22</v>
      </c>
      <c r="EJ96" s="190">
        <f t="shared" si="33"/>
        <v>25.69396</v>
      </c>
      <c r="EK96" s="191">
        <f t="shared" si="41"/>
        <v>0.270462736842105</v>
      </c>
      <c r="EL96" s="190">
        <f t="shared" si="44"/>
        <v>7.73604</v>
      </c>
      <c r="EM96" s="158" t="str">
        <f t="shared" si="42"/>
        <v>否</v>
      </c>
      <c r="EN96" s="158">
        <f t="shared" si="43"/>
        <v>4.75</v>
      </c>
      <c r="EO96" s="190">
        <f t="shared" si="34"/>
        <v>16.625</v>
      </c>
      <c r="EP96" s="182">
        <f>IF(EE96&lt;299,IF(EE96&lt;99,25,IF(EE96&lt;=149,30,IF(EE96&lt;=299,37,85))),IF(EE96&lt;=498,_xlfn.XLOOKUP(EW96,运费表!A:A,运费表!C:C,"重量超限",-1),_xlfn.XLOOKUP(EW96,运费表!A:A,运费表!D:D,"重量超限",-1)))</f>
        <v>25</v>
      </c>
      <c r="EQ96" s="182">
        <f t="shared" si="35"/>
        <v>9.975</v>
      </c>
      <c r="ER96" s="158">
        <f>_xlfn.XLOOKUP(K96,[4]目录表!$H:$H,[4]目录表!$X:$X)</f>
        <v>0.08</v>
      </c>
      <c r="ES96" s="158">
        <f>_xlfn.XLOOKUP(K96,[4]目录表!$H:$H,[4]目录表!$Y:$Y)</f>
        <v>13</v>
      </c>
      <c r="ET96" s="158">
        <f>_xlfn.XLOOKUP(K96,[4]目录表!$H:$H,[4]目录表!$Z:$Z)</f>
        <v>19</v>
      </c>
      <c r="EU96" s="158">
        <f>_xlfn.XLOOKUP(K96,[4]目录表!$H:$H,[4]目录表!$AA:$AA)</f>
        <v>4</v>
      </c>
      <c r="EV96" s="158">
        <f t="shared" si="45"/>
        <v>0.1976</v>
      </c>
      <c r="EW96" s="158">
        <f t="shared" si="36"/>
        <v>0.1976</v>
      </c>
      <c r="EX96" s="193">
        <f>_xlfn.XLOOKUP(K96,[2]目录表!$H:$H,[2]目录表!$AB:$AB)</f>
        <v>0.000988</v>
      </c>
      <c r="EZ96" s="194">
        <f t="shared" si="38"/>
        <v>0</v>
      </c>
      <c r="FK96" s="128" t="str">
        <f>_xlfn.XLOOKUP(K96,[2]目录表!$H:$H,[2]目录表!$AJ:$AJ)</f>
        <v>散货</v>
      </c>
    </row>
    <row r="97" customHeight="1" spans="2:167">
      <c r="B97" s="208" t="s">
        <v>585</v>
      </c>
      <c r="C97" s="158">
        <v>27</v>
      </c>
      <c r="D97" s="158">
        <v>43</v>
      </c>
      <c r="E97" s="181">
        <v>46038</v>
      </c>
      <c r="G97" s="128" t="s">
        <v>586</v>
      </c>
      <c r="H97" s="129" t="s">
        <v>587</v>
      </c>
      <c r="J97" s="203" t="s">
        <v>588</v>
      </c>
      <c r="K97" s="128" t="s">
        <v>589</v>
      </c>
      <c r="M97" s="189" t="s">
        <v>183</v>
      </c>
      <c r="N97" s="131">
        <f>_xlfn.XLOOKUP(L97,数据更新表!J:J,数据更新表!K:K)</f>
        <v>0</v>
      </c>
      <c r="O97" s="131" t="str">
        <f>IFERROR(_xlfn.XLOOKUP(K97,数据更新表!A:A,数据更新表!B:B),"0")</f>
        <v>0</v>
      </c>
      <c r="P97" s="131">
        <f>_xlfn.XLOOKUP(K97,[1]库销表!$F:$F,[1]库销表!$L:$L)</f>
        <v>0</v>
      </c>
      <c r="Q97" s="184" t="e">
        <f t="shared" si="28"/>
        <v>#DIV/0!</v>
      </c>
      <c r="S97" s="128" t="e">
        <f>_xlfn.XLOOKUP(K97,数据更新表!R:R,数据更新表!S:S)</f>
        <v>#N/A</v>
      </c>
      <c r="T97" s="128" t="e">
        <f>_xlfn.XLOOKUP(K97,数据更新表!V:V,数据更新表!W:W)</f>
        <v>#N/A</v>
      </c>
      <c r="V97" s="185" t="str">
        <f t="shared" si="29"/>
        <v>0</v>
      </c>
      <c r="W97" s="158">
        <f t="shared" si="30"/>
        <v>0</v>
      </c>
      <c r="X97" s="158">
        <f t="shared" si="37"/>
        <v>0</v>
      </c>
      <c r="AF97" s="128">
        <f t="shared" si="31"/>
        <v>0</v>
      </c>
      <c r="BR97" s="131"/>
      <c r="BS97" s="131">
        <f>_xlfn.XLOOKUP(K97,[1]库销表!$F:$F,[1]库销表!$L:$L)</f>
        <v>0</v>
      </c>
      <c r="BT97" s="131">
        <f t="shared" si="32"/>
        <v>0</v>
      </c>
      <c r="CW97" s="131">
        <f>_xlfn.XLOOKUP(K97,[1]库销表!$F:$F,[1]库销表!$IE:$IE)</f>
        <v>0</v>
      </c>
      <c r="CX97" s="131">
        <f>_xlfn.XLOOKUP(K97,[1]库销表!$F:$F,[1]库销表!$IF:$IF)</f>
        <v>0</v>
      </c>
      <c r="CY97" s="186">
        <f>_xlfn.XLOOKUP(K97,[1]库销表!$F:$F,[1]库销表!$FL:$FL)</f>
        <v>0</v>
      </c>
      <c r="CZ97" s="131">
        <f>_xlfn.XLOOKUP(K97,数据更新表!E:E,数据更新表!F:F,0)</f>
        <v>0</v>
      </c>
      <c r="DA97" s="131">
        <v>0</v>
      </c>
      <c r="DB97" s="131" t="e">
        <f>_xlfn.XLOOKUP(K97,数据更新表!E:E,数据更新表!G:G)</f>
        <v>#N/A</v>
      </c>
      <c r="DC97" s="187">
        <f>_xlfn.XLOOKUP(L97,数据更新表!Z:Z,数据更新表!AH:AH)</f>
        <v>0</v>
      </c>
      <c r="DD97" s="131">
        <f>_xlfn.XLOOKUP(L97,数据更新表!Z:Z,数据更新表!AE:AE)</f>
        <v>0</v>
      </c>
      <c r="DE97" s="131">
        <f>_xlfn.XLOOKUP(L97,数据更新表!Z:Z,数据更新表!AF:AF)</f>
        <v>0</v>
      </c>
      <c r="DF97" s="131" t="e">
        <f>_xlfn.XLOOKUP(K97,数据更新表!Z:Z,数据更新表!AG:AG)</f>
        <v>#N/A</v>
      </c>
      <c r="DG97" s="128">
        <f>_xlfn.XLOOKUP(L97,数据更新表!Z:Z,数据更新表!AD:AD)</f>
        <v>0</v>
      </c>
      <c r="DH97" s="128">
        <f>_xlfn.XLOOKUP(L97,数据更新表!Z:Z,数据更新表!AA:AA)</f>
        <v>0</v>
      </c>
      <c r="DI97" s="128">
        <f>_xlfn.XLOOKUP(L97,数据更新表!Z:Z,数据更新表!AB:AB)</f>
        <v>0</v>
      </c>
      <c r="DJ97" s="128">
        <f>_xlfn.XLOOKUP(L97,数据更新表!Z:Z,数据更新表!AC:AC)</f>
        <v>0</v>
      </c>
      <c r="DK97" s="133">
        <f>_xlfn.XLOOKUP(L97,数据更新表!Z:Z,数据更新表!AI:AI)</f>
        <v>0</v>
      </c>
      <c r="DL97" s="133">
        <f>_xlfn.XLOOKUP(L97,数据更新表!AL:AL,数据更新表!AM:AM)</f>
        <v>0</v>
      </c>
      <c r="DM97" s="131">
        <f>_xlfn.XLOOKUP(L97,数据更新表!Z:Z,数据更新表!AJ:AJ)</f>
        <v>0</v>
      </c>
      <c r="EE97" s="128">
        <v>197</v>
      </c>
      <c r="EF97" s="128"/>
      <c r="EG97" s="158">
        <v>11.9</v>
      </c>
      <c r="EH97" s="191">
        <f t="shared" si="39"/>
        <v>1.05561344339597</v>
      </c>
      <c r="EI97" s="158">
        <f t="shared" si="40"/>
        <v>31.059</v>
      </c>
      <c r="EJ97" s="190">
        <f t="shared" si="33"/>
        <v>48.77995</v>
      </c>
      <c r="EK97" s="191">
        <f t="shared" si="41"/>
        <v>0.247613959390863</v>
      </c>
      <c r="EL97" s="190">
        <f t="shared" si="44"/>
        <v>15.15105</v>
      </c>
      <c r="EM97" s="158" t="str">
        <f t="shared" si="42"/>
        <v>否</v>
      </c>
      <c r="EN97" s="158">
        <f t="shared" si="43"/>
        <v>9.85</v>
      </c>
      <c r="EO97" s="190">
        <f t="shared" si="34"/>
        <v>34.475</v>
      </c>
      <c r="EP97" s="182">
        <f>IF(EE97&lt;299,IF(EE97&lt;99,25,IF(EE97&lt;=149,30,IF(EE97&lt;=299,37,85))),IF(EE97&lt;=498,_xlfn.XLOOKUP(EW97,运费表!A:A,运费表!C:C,"重量超限",-1),_xlfn.XLOOKUP(EW97,运费表!A:A,运费表!D:D,"重量超限",-1)))</f>
        <v>37</v>
      </c>
      <c r="EQ97" s="182">
        <f t="shared" si="35"/>
        <v>20.685</v>
      </c>
      <c r="ER97" s="158">
        <f>_xlfn.XLOOKUP(K97,[4]目录表!$H:$H,[4]目录表!$X:$X)</f>
        <v>0.22</v>
      </c>
      <c r="ES97" s="158">
        <f>_xlfn.XLOOKUP(K97,[4]目录表!$H:$H,[4]目录表!$Y:$Y)</f>
        <v>17.2</v>
      </c>
      <c r="ET97" s="158">
        <f>_xlfn.XLOOKUP(K97,[4]目录表!$H:$H,[4]目录表!$Z:$Z)</f>
        <v>12.5</v>
      </c>
      <c r="EU97" s="158">
        <f>_xlfn.XLOOKUP(K97,[4]目录表!$H:$H,[4]目录表!$AA:$AA)</f>
        <v>9</v>
      </c>
      <c r="EV97" s="158">
        <f t="shared" si="45"/>
        <v>0.387</v>
      </c>
      <c r="EW97" s="158">
        <f t="shared" si="36"/>
        <v>0.387</v>
      </c>
      <c r="EX97" s="193">
        <f>_xlfn.XLOOKUP(K97,[2]目录表!$H:$H,[2]目录表!$AB:$AB)</f>
        <v>0.001935</v>
      </c>
      <c r="EZ97" s="194">
        <f t="shared" si="38"/>
        <v>0</v>
      </c>
      <c r="FK97" s="128" t="str">
        <f>_xlfn.XLOOKUP(K97,[2]目录表!$H:$H,[2]目录表!$AJ:$AJ)</f>
        <v>散货</v>
      </c>
    </row>
    <row r="98" customHeight="1" spans="2:167">
      <c r="B98" s="208" t="s">
        <v>372</v>
      </c>
      <c r="C98" s="158">
        <v>15</v>
      </c>
      <c r="D98" s="158">
        <v>30</v>
      </c>
      <c r="E98" s="181" t="e">
        <f>_xlfn.XLOOKUP(K98,[3]工业配件!$AA:$AA,[3]工业配件!$L:$L)</f>
        <v>#N/A</v>
      </c>
      <c r="G98" s="158" t="s">
        <v>373</v>
      </c>
      <c r="H98" s="203" t="s">
        <v>374</v>
      </c>
      <c r="J98" s="203" t="s">
        <v>375</v>
      </c>
      <c r="K98" s="203" t="s">
        <v>376</v>
      </c>
    </row>
    <row r="99" customHeight="1" spans="2:167">
      <c r="B99" s="208" t="s">
        <v>378</v>
      </c>
      <c r="C99" s="158">
        <v>5</v>
      </c>
      <c r="D99" s="158">
        <v>28</v>
      </c>
      <c r="E99" s="181" t="e">
        <f>_xlfn.XLOOKUP(K99,[3]工业配件!$AA:$AA,[3]工业配件!$L:$L)</f>
        <v>#N/A</v>
      </c>
      <c r="G99" s="158" t="s">
        <v>373</v>
      </c>
      <c r="H99" s="203" t="s">
        <v>379</v>
      </c>
      <c r="J99" s="203" t="s">
        <v>380</v>
      </c>
      <c r="K99" s="203" t="s">
        <v>381</v>
      </c>
    </row>
    <row r="100" customHeight="1" spans="2:167">
      <c r="B100" s="208" t="s">
        <v>383</v>
      </c>
      <c r="C100" s="158">
        <v>8</v>
      </c>
      <c r="D100" s="158">
        <v>34</v>
      </c>
      <c r="E100" s="181" t="e">
        <f>_xlfn.XLOOKUP(K100,[3]工业配件!$AA:$AA,[3]工业配件!$L:$L)</f>
        <v>#N/A</v>
      </c>
      <c r="G100" s="158" t="s">
        <v>373</v>
      </c>
      <c r="H100" s="203" t="s">
        <v>384</v>
      </c>
      <c r="J100" s="203" t="s">
        <v>385</v>
      </c>
      <c r="K100" s="203" t="s">
        <v>386</v>
      </c>
    </row>
    <row r="101" customHeight="1" spans="2:167">
      <c r="B101" s="208" t="s">
        <v>388</v>
      </c>
      <c r="C101" s="158">
        <v>23</v>
      </c>
      <c r="D101" s="158">
        <v>82</v>
      </c>
      <c r="E101" s="181" t="e">
        <f>_xlfn.XLOOKUP(K101,[3]工业配件!$AA:$AA,[3]工业配件!$L:$L)</f>
        <v>#N/A</v>
      </c>
      <c r="G101" s="158" t="s">
        <v>373</v>
      </c>
      <c r="H101" s="203" t="s">
        <v>389</v>
      </c>
      <c r="J101" s="203" t="s">
        <v>390</v>
      </c>
      <c r="K101" s="203" t="s">
        <v>391</v>
      </c>
    </row>
    <row r="102" customHeight="1" spans="2:167">
      <c r="B102" s="208" t="s">
        <v>392</v>
      </c>
      <c r="C102" s="158">
        <v>7</v>
      </c>
      <c r="D102" s="158">
        <v>7</v>
      </c>
      <c r="E102" s="181" t="e">
        <f>_xlfn.XLOOKUP(K102,[3]工业配件!$AA:$AA,[3]工业配件!$L:$L)</f>
        <v>#N/A</v>
      </c>
      <c r="G102" s="158" t="s">
        <v>373</v>
      </c>
      <c r="H102" s="203" t="s">
        <v>393</v>
      </c>
      <c r="J102" s="203" t="s">
        <v>394</v>
      </c>
      <c r="K102" s="203" t="s">
        <v>395</v>
      </c>
    </row>
    <row r="103" customHeight="1" spans="2:167">
      <c r="B103" s="208" t="s">
        <v>396</v>
      </c>
      <c r="C103" s="158">
        <v>5</v>
      </c>
      <c r="D103" s="158">
        <v>7</v>
      </c>
      <c r="E103" s="181" t="e">
        <f>_xlfn.XLOOKUP(K103,[3]工业配件!$AA:$AA,[3]工业配件!$L:$L)</f>
        <v>#N/A</v>
      </c>
      <c r="G103" s="158" t="s">
        <v>373</v>
      </c>
      <c r="H103" s="203" t="s">
        <v>397</v>
      </c>
      <c r="J103" s="203" t="s">
        <v>398</v>
      </c>
      <c r="K103" s="203" t="s">
        <v>399</v>
      </c>
    </row>
    <row r="104" customHeight="1" spans="2:167">
      <c r="B104" s="208" t="s">
        <v>400</v>
      </c>
      <c r="C104" s="158">
        <v>13</v>
      </c>
      <c r="D104" s="158">
        <v>31</v>
      </c>
      <c r="E104" s="181" t="e">
        <f>_xlfn.XLOOKUP(K104,[3]工业配件!$AA:$AA,[3]工业配件!$L:$L)</f>
        <v>#N/A</v>
      </c>
      <c r="G104" s="158" t="s">
        <v>401</v>
      </c>
      <c r="H104" s="203" t="s">
        <v>402</v>
      </c>
      <c r="J104" s="203" t="s">
        <v>403</v>
      </c>
      <c r="K104" s="203" t="s">
        <v>404</v>
      </c>
    </row>
    <row r="105" customHeight="1" spans="2:167">
      <c r="B105" s="208" t="s">
        <v>405</v>
      </c>
      <c r="C105" s="158">
        <v>15</v>
      </c>
      <c r="D105" s="158">
        <v>36</v>
      </c>
      <c r="E105" s="181" t="e">
        <f>_xlfn.XLOOKUP(K105,[3]工业配件!$AA:$AA,[3]工业配件!$L:$L)</f>
        <v>#N/A</v>
      </c>
      <c r="G105" s="158" t="s">
        <v>406</v>
      </c>
      <c r="H105" s="203" t="s">
        <v>407</v>
      </c>
      <c r="J105" s="203" t="s">
        <v>408</v>
      </c>
      <c r="K105" s="203" t="s">
        <v>409</v>
      </c>
    </row>
    <row r="106" customHeight="1" spans="2:167">
      <c r="B106" s="208" t="s">
        <v>410</v>
      </c>
      <c r="C106" s="158">
        <v>11</v>
      </c>
      <c r="D106" s="158">
        <v>31</v>
      </c>
      <c r="E106" s="181" t="e">
        <f>_xlfn.XLOOKUP(K106,[3]工业配件!$AA:$AA,[3]工业配件!$L:$L)</f>
        <v>#N/A</v>
      </c>
      <c r="G106" s="158" t="s">
        <v>411</v>
      </c>
      <c r="H106" s="203" t="s">
        <v>412</v>
      </c>
      <c r="J106" s="203" t="s">
        <v>413</v>
      </c>
      <c r="K106" s="203" t="s">
        <v>414</v>
      </c>
    </row>
    <row r="107" customHeight="1" spans="2:167">
      <c r="B107" s="208" t="s">
        <v>415</v>
      </c>
      <c r="C107" s="158">
        <v>7</v>
      </c>
      <c r="D107" s="158">
        <v>13</v>
      </c>
      <c r="E107" s="181" t="e">
        <f>_xlfn.XLOOKUP(K107,[3]工业配件!$AA:$AA,[3]工业配件!$L:$L)</f>
        <v>#N/A</v>
      </c>
      <c r="G107" s="158" t="s">
        <v>411</v>
      </c>
      <c r="H107" s="203" t="s">
        <v>416</v>
      </c>
      <c r="J107" s="203" t="s">
        <v>417</v>
      </c>
      <c r="K107" s="203" t="s">
        <v>418</v>
      </c>
    </row>
    <row r="108" customHeight="1" spans="2:167">
      <c r="B108" s="208" t="s">
        <v>419</v>
      </c>
      <c r="C108" s="158">
        <v>11</v>
      </c>
      <c r="D108" s="158">
        <v>66</v>
      </c>
      <c r="E108" s="181" t="e">
        <f>_xlfn.XLOOKUP(K108,[3]工业配件!$AA:$AA,[3]工业配件!$L:$L)</f>
        <v>#N/A</v>
      </c>
      <c r="G108" s="158" t="s">
        <v>411</v>
      </c>
      <c r="H108" s="203" t="s">
        <v>420</v>
      </c>
      <c r="J108" s="203" t="s">
        <v>421</v>
      </c>
      <c r="K108" s="203" t="s">
        <v>422</v>
      </c>
    </row>
    <row r="109" customHeight="1" spans="2:167">
      <c r="B109" s="208" t="s">
        <v>423</v>
      </c>
      <c r="C109" s="158">
        <v>7</v>
      </c>
      <c r="D109" s="158">
        <v>50</v>
      </c>
      <c r="E109" s="181" t="e">
        <f>_xlfn.XLOOKUP(K109,[3]工业配件!$AA:$AA,[3]工业配件!$L:$L)</f>
        <v>#N/A</v>
      </c>
      <c r="G109" s="158" t="s">
        <v>411</v>
      </c>
      <c r="H109" s="203" t="s">
        <v>424</v>
      </c>
      <c r="J109" s="203" t="s">
        <v>425</v>
      </c>
      <c r="K109" s="203" t="s">
        <v>426</v>
      </c>
    </row>
    <row r="110" customHeight="1" spans="2:167">
      <c r="B110" s="208" t="s">
        <v>427</v>
      </c>
      <c r="C110" s="158">
        <v>32</v>
      </c>
      <c r="D110" s="158">
        <v>118</v>
      </c>
      <c r="E110" s="181" t="e">
        <f>_xlfn.XLOOKUP(K110,[3]工业配件!$AA:$AA,[3]工业配件!$L:$L)</f>
        <v>#N/A</v>
      </c>
      <c r="G110" s="158" t="s">
        <v>411</v>
      </c>
      <c r="H110" s="203" t="s">
        <v>428</v>
      </c>
      <c r="J110" s="203" t="s">
        <v>429</v>
      </c>
      <c r="K110" s="203" t="s">
        <v>430</v>
      </c>
    </row>
    <row r="111" customHeight="1" spans="2:167">
      <c r="B111" s="208" t="s">
        <v>431</v>
      </c>
      <c r="C111" s="158">
        <v>4</v>
      </c>
      <c r="D111" s="158">
        <v>14</v>
      </c>
      <c r="E111" s="181" t="e">
        <f>_xlfn.XLOOKUP(K111,[3]工业配件!$AA:$AA,[3]工业配件!$L:$L)</f>
        <v>#N/A</v>
      </c>
      <c r="G111" s="158" t="s">
        <v>411</v>
      </c>
      <c r="H111" s="203" t="s">
        <v>432</v>
      </c>
      <c r="J111" s="203" t="s">
        <v>433</v>
      </c>
      <c r="K111" s="203" t="s">
        <v>434</v>
      </c>
    </row>
    <row r="112" customHeight="1" spans="2:167">
      <c r="B112" s="208" t="s">
        <v>435</v>
      </c>
      <c r="C112" s="158">
        <v>13</v>
      </c>
      <c r="D112" s="158">
        <v>39</v>
      </c>
      <c r="E112" s="181" t="e">
        <f>_xlfn.XLOOKUP(K112,[3]工业配件!$AA:$AA,[3]工业配件!$L:$L)</f>
        <v>#N/A</v>
      </c>
      <c r="G112" s="158" t="s">
        <v>411</v>
      </c>
      <c r="H112" s="203" t="s">
        <v>436</v>
      </c>
      <c r="J112" s="203" t="s">
        <v>437</v>
      </c>
      <c r="K112" s="203" t="s">
        <v>438</v>
      </c>
    </row>
    <row r="113" customHeight="1" spans="2:11">
      <c r="B113" s="208" t="s">
        <v>439</v>
      </c>
      <c r="C113" s="158">
        <v>5</v>
      </c>
      <c r="D113" s="158">
        <v>26</v>
      </c>
      <c r="E113" s="181" t="e">
        <f>_xlfn.XLOOKUP(K113,[3]工业配件!$AA:$AA,[3]工业配件!$L:$L)</f>
        <v>#N/A</v>
      </c>
      <c r="G113" s="158" t="s">
        <v>440</v>
      </c>
      <c r="H113" s="203" t="s">
        <v>441</v>
      </c>
      <c r="J113" s="203" t="s">
        <v>442</v>
      </c>
      <c r="K113" s="203" t="s">
        <v>443</v>
      </c>
    </row>
    <row r="114" customHeight="1" spans="2:11">
      <c r="B114" s="208" t="s">
        <v>444</v>
      </c>
      <c r="C114" s="158">
        <v>4</v>
      </c>
      <c r="D114" s="158">
        <v>34</v>
      </c>
      <c r="E114" s="181" t="e">
        <f>_xlfn.XLOOKUP(K114,[3]工业配件!$AA:$AA,[3]工业配件!$L:$L)</f>
        <v>#N/A</v>
      </c>
      <c r="G114" s="158" t="s">
        <v>445</v>
      </c>
      <c r="H114" s="203" t="s">
        <v>446</v>
      </c>
      <c r="J114" s="203" t="s">
        <v>447</v>
      </c>
      <c r="K114" s="203" t="s">
        <v>448</v>
      </c>
    </row>
    <row r="115" customHeight="1" spans="2:11">
      <c r="B115" s="208" t="s">
        <v>449</v>
      </c>
      <c r="C115" s="158">
        <v>3</v>
      </c>
      <c r="D115" s="158">
        <v>31</v>
      </c>
      <c r="E115" s="181" t="e">
        <f>_xlfn.XLOOKUP(K115,[3]工业配件!$AA:$AA,[3]工业配件!$L:$L)</f>
        <v>#N/A</v>
      </c>
      <c r="G115" s="128" t="s">
        <v>411</v>
      </c>
      <c r="H115" s="209" t="s">
        <v>450</v>
      </c>
      <c r="J115" s="203" t="s">
        <v>451</v>
      </c>
      <c r="K115" s="203" t="s">
        <v>452</v>
      </c>
    </row>
    <row r="116" customHeight="1" spans="2:11">
      <c r="B116" s="208" t="s">
        <v>453</v>
      </c>
      <c r="C116" s="158">
        <v>7</v>
      </c>
      <c r="D116" s="158">
        <v>62</v>
      </c>
      <c r="E116" s="181" t="e">
        <f>_xlfn.XLOOKUP(K116,[3]工业配件!$AA:$AA,[3]工业配件!$L:$L)</f>
        <v>#N/A</v>
      </c>
      <c r="G116" s="128" t="s">
        <v>454</v>
      </c>
      <c r="H116" s="129" t="s">
        <v>455</v>
      </c>
      <c r="J116" s="203" t="s">
        <v>456</v>
      </c>
      <c r="K116" s="128" t="s">
        <v>457</v>
      </c>
    </row>
    <row r="117" customHeight="1" spans="2:11">
      <c r="B117" s="200" t="s">
        <v>458</v>
      </c>
      <c r="C117" s="158">
        <v>15</v>
      </c>
      <c r="D117" s="158">
        <v>89</v>
      </c>
      <c r="E117" s="181" t="e">
        <f>_xlfn.XLOOKUP(K117,[3]工业配件!$AA:$AA,[3]工业配件!$L:$L)</f>
        <v>#N/A</v>
      </c>
      <c r="G117" s="128" t="s">
        <v>459</v>
      </c>
      <c r="H117" s="129" t="s">
        <v>460</v>
      </c>
      <c r="J117" s="203" t="s">
        <v>461</v>
      </c>
      <c r="K117" s="128" t="s">
        <v>462</v>
      </c>
    </row>
    <row r="118" customHeight="1" spans="2:11">
      <c r="B118" s="200" t="s">
        <v>463</v>
      </c>
      <c r="C118" s="158">
        <v>37</v>
      </c>
      <c r="D118" s="158">
        <v>214</v>
      </c>
      <c r="E118" s="181" t="e">
        <f>_xlfn.XLOOKUP(K118,[3]工业配件!$AA:$AA,[3]工业配件!$L:$L)</f>
        <v>#N/A</v>
      </c>
      <c r="G118" s="128" t="s">
        <v>459</v>
      </c>
      <c r="H118" s="129" t="s">
        <v>464</v>
      </c>
      <c r="J118" s="203" t="s">
        <v>465</v>
      </c>
      <c r="K118" s="128" t="s">
        <v>466</v>
      </c>
    </row>
    <row r="119" customHeight="1" spans="2:11">
      <c r="B119" s="208" t="s">
        <v>467</v>
      </c>
      <c r="C119" s="158">
        <v>19</v>
      </c>
      <c r="D119" s="158">
        <v>51</v>
      </c>
      <c r="E119" s="181" t="e">
        <f>_xlfn.XLOOKUP(K119,[3]工业配件!$AA:$AA,[3]工业配件!$L:$L)</f>
        <v>#N/A</v>
      </c>
      <c r="G119" s="128" t="s">
        <v>468</v>
      </c>
      <c r="H119" s="129" t="s">
        <v>469</v>
      </c>
      <c r="J119" s="203" t="s">
        <v>470</v>
      </c>
      <c r="K119" s="128" t="s">
        <v>471</v>
      </c>
    </row>
    <row r="120" customHeight="1" spans="2:11">
      <c r="B120" s="208" t="s">
        <v>472</v>
      </c>
      <c r="C120" s="158">
        <v>10</v>
      </c>
      <c r="D120" s="158">
        <v>39</v>
      </c>
      <c r="E120" s="181" t="e">
        <f>_xlfn.XLOOKUP(K120,[3]工业配件!$AA:$AA,[3]工业配件!$L:$L)</f>
        <v>#N/A</v>
      </c>
      <c r="G120" s="128" t="s">
        <v>473</v>
      </c>
      <c r="H120" s="129" t="s">
        <v>474</v>
      </c>
      <c r="J120" s="203" t="s">
        <v>475</v>
      </c>
      <c r="K120" s="128" t="s">
        <v>476</v>
      </c>
    </row>
    <row r="121" customHeight="1" spans="2:11">
      <c r="B121" s="208" t="s">
        <v>477</v>
      </c>
      <c r="C121" s="158">
        <v>40</v>
      </c>
      <c r="D121" s="158">
        <v>144</v>
      </c>
      <c r="E121" s="181" t="e">
        <f>_xlfn.XLOOKUP(K121,[3]工业配件!$AA:$AA,[3]工业配件!$L:$L)</f>
        <v>#N/A</v>
      </c>
      <c r="G121" s="128" t="s">
        <v>478</v>
      </c>
      <c r="H121" s="129" t="s">
        <v>479</v>
      </c>
      <c r="J121" s="203" t="s">
        <v>480</v>
      </c>
      <c r="K121" s="128" t="s">
        <v>481</v>
      </c>
    </row>
    <row r="122" customHeight="1" spans="2:11">
      <c r="B122" s="208" t="s">
        <v>482</v>
      </c>
      <c r="C122" s="158">
        <v>34</v>
      </c>
      <c r="D122" s="158">
        <v>94</v>
      </c>
      <c r="E122" s="181" t="e">
        <f>_xlfn.XLOOKUP(K122,[3]工业配件!$AA:$AA,[3]工业配件!$L:$L)</f>
        <v>#N/A</v>
      </c>
      <c r="G122" s="128" t="s">
        <v>483</v>
      </c>
      <c r="H122" s="129" t="s">
        <v>484</v>
      </c>
      <c r="J122" s="203" t="s">
        <v>485</v>
      </c>
      <c r="K122" s="128" t="s">
        <v>486</v>
      </c>
    </row>
    <row r="123" customHeight="1" spans="2:11">
      <c r="B123" s="208" t="s">
        <v>488</v>
      </c>
      <c r="C123" s="158">
        <v>12</v>
      </c>
      <c r="D123" s="158">
        <v>50</v>
      </c>
      <c r="E123" s="181" t="e">
        <f>_xlfn.XLOOKUP(K123,[3]工业配件!$AA:$AA,[3]工业配件!$L:$L)</f>
        <v>#N/A</v>
      </c>
      <c r="G123" s="128" t="s">
        <v>489</v>
      </c>
      <c r="H123" s="129" t="s">
        <v>490</v>
      </c>
      <c r="J123" s="203" t="s">
        <v>491</v>
      </c>
      <c r="K123" s="128" t="s">
        <v>492</v>
      </c>
    </row>
    <row r="124" customHeight="1" spans="2:11">
      <c r="B124" s="208" t="s">
        <v>493</v>
      </c>
      <c r="C124" s="158">
        <v>28</v>
      </c>
      <c r="D124" s="158">
        <v>130</v>
      </c>
      <c r="E124" s="181" t="e">
        <f>_xlfn.XLOOKUP(K124,[3]工业配件!$AA:$AA,[3]工业配件!$L:$L)</f>
        <v>#N/A</v>
      </c>
      <c r="G124" s="128" t="s">
        <v>494</v>
      </c>
      <c r="H124" s="129" t="s">
        <v>495</v>
      </c>
      <c r="J124" s="203" t="s">
        <v>496</v>
      </c>
      <c r="K124" s="128" t="s">
        <v>497</v>
      </c>
    </row>
    <row r="125" customHeight="1" spans="2:11">
      <c r="B125" s="208" t="s">
        <v>498</v>
      </c>
      <c r="C125" s="158">
        <v>5</v>
      </c>
      <c r="D125" s="158">
        <v>58</v>
      </c>
      <c r="E125" s="181" t="e">
        <f>_xlfn.XLOOKUP(K125,[3]工业配件!$AA:$AA,[3]工业配件!$L:$L)</f>
        <v>#N/A</v>
      </c>
      <c r="G125" s="128" t="s">
        <v>499</v>
      </c>
      <c r="H125" s="129" t="s">
        <v>500</v>
      </c>
      <c r="J125" s="203" t="s">
        <v>501</v>
      </c>
      <c r="K125" s="128" t="s">
        <v>502</v>
      </c>
    </row>
    <row r="126" customHeight="1" spans="2:11">
      <c r="B126" s="208" t="s">
        <v>503</v>
      </c>
      <c r="C126" s="158">
        <v>6</v>
      </c>
      <c r="D126" s="158">
        <v>36</v>
      </c>
      <c r="E126" s="181" t="e">
        <f>_xlfn.XLOOKUP(K126,[3]工业配件!$AA:$AA,[3]工业配件!$L:$L)</f>
        <v>#N/A</v>
      </c>
      <c r="G126" s="128" t="s">
        <v>504</v>
      </c>
      <c r="H126" s="129" t="s">
        <v>505</v>
      </c>
      <c r="J126" s="203" t="s">
        <v>506</v>
      </c>
      <c r="K126" s="128" t="s">
        <v>507</v>
      </c>
    </row>
    <row r="127" customHeight="1" spans="2:11">
      <c r="B127" s="208" t="s">
        <v>508</v>
      </c>
      <c r="C127" s="158">
        <v>15</v>
      </c>
      <c r="D127" s="158">
        <v>51</v>
      </c>
      <c r="E127" s="181" t="e">
        <f>_xlfn.XLOOKUP(K127,[3]工业配件!$AA:$AA,[3]工业配件!$L:$L)</f>
        <v>#N/A</v>
      </c>
      <c r="G127" s="128" t="s">
        <v>509</v>
      </c>
      <c r="H127" s="129" t="s">
        <v>510</v>
      </c>
      <c r="J127" s="203" t="s">
        <v>511</v>
      </c>
      <c r="K127" s="128" t="s">
        <v>512</v>
      </c>
    </row>
    <row r="128" customHeight="1" spans="2:11">
      <c r="B128" s="208" t="s">
        <v>513</v>
      </c>
      <c r="C128" s="158">
        <v>13</v>
      </c>
      <c r="D128" s="158">
        <v>98</v>
      </c>
      <c r="E128" s="181" t="e">
        <f>_xlfn.XLOOKUP(K128,[3]工业配件!$AA:$AA,[3]工业配件!$L:$L)</f>
        <v>#N/A</v>
      </c>
      <c r="G128" s="128" t="s">
        <v>514</v>
      </c>
      <c r="H128" s="129" t="s">
        <v>515</v>
      </c>
      <c r="J128" s="203" t="s">
        <v>516</v>
      </c>
      <c r="K128" s="128" t="s">
        <v>517</v>
      </c>
    </row>
    <row r="129" customHeight="1" spans="2:11">
      <c r="B129" s="208" t="s">
        <v>518</v>
      </c>
      <c r="C129" s="158">
        <v>11</v>
      </c>
      <c r="D129" s="158">
        <v>47</v>
      </c>
      <c r="E129" s="181" t="e">
        <f>_xlfn.XLOOKUP(K129,[3]工业配件!$AA:$AA,[3]工业配件!$L:$L)</f>
        <v>#N/A</v>
      </c>
      <c r="G129" s="128" t="s">
        <v>519</v>
      </c>
      <c r="H129" s="129" t="s">
        <v>520</v>
      </c>
      <c r="J129" s="203" t="s">
        <v>521</v>
      </c>
      <c r="K129" s="128" t="s">
        <v>522</v>
      </c>
    </row>
    <row r="130" customHeight="1" spans="2:11">
      <c r="B130" s="208" t="s">
        <v>523</v>
      </c>
      <c r="C130" s="158">
        <v>20</v>
      </c>
      <c r="D130" s="158">
        <v>67</v>
      </c>
      <c r="E130" s="181">
        <v>46038</v>
      </c>
      <c r="G130" s="128" t="s">
        <v>524</v>
      </c>
      <c r="H130" s="129" t="s">
        <v>525</v>
      </c>
      <c r="J130" s="203" t="s">
        <v>526</v>
      </c>
      <c r="K130" s="128" t="s">
        <v>527</v>
      </c>
    </row>
    <row r="131" customHeight="1" spans="2:11">
      <c r="B131" s="208" t="s">
        <v>528</v>
      </c>
      <c r="C131" s="158">
        <v>10</v>
      </c>
      <c r="D131" s="158">
        <v>74</v>
      </c>
      <c r="E131" s="181">
        <v>46044</v>
      </c>
      <c r="G131" s="128" t="s">
        <v>524</v>
      </c>
      <c r="H131" s="129" t="s">
        <v>529</v>
      </c>
      <c r="J131" s="203" t="s">
        <v>530</v>
      </c>
      <c r="K131" s="128" t="s">
        <v>531</v>
      </c>
    </row>
    <row r="132" customHeight="1" spans="2:11">
      <c r="B132" s="208" t="s">
        <v>532</v>
      </c>
      <c r="C132" s="158">
        <v>10</v>
      </c>
      <c r="D132" s="158">
        <v>104</v>
      </c>
      <c r="E132" s="181">
        <v>46037</v>
      </c>
      <c r="G132" s="128" t="s">
        <v>524</v>
      </c>
      <c r="H132" s="129" t="s">
        <v>533</v>
      </c>
      <c r="J132" s="203" t="s">
        <v>534</v>
      </c>
      <c r="K132" s="128" t="s">
        <v>535</v>
      </c>
    </row>
    <row r="133" customHeight="1" spans="2:11">
      <c r="B133" s="208" t="s">
        <v>536</v>
      </c>
      <c r="C133" s="158">
        <v>23</v>
      </c>
      <c r="D133" s="158">
        <v>66</v>
      </c>
      <c r="E133" s="181">
        <v>46044</v>
      </c>
      <c r="G133" s="128" t="s">
        <v>524</v>
      </c>
      <c r="H133" s="129" t="s">
        <v>537</v>
      </c>
      <c r="J133" s="203" t="s">
        <v>538</v>
      </c>
      <c r="K133" s="128" t="s">
        <v>539</v>
      </c>
    </row>
    <row r="134" customHeight="1" spans="2:11">
      <c r="B134" s="208" t="s">
        <v>540</v>
      </c>
      <c r="C134" s="158">
        <v>36</v>
      </c>
      <c r="D134" s="158">
        <v>142</v>
      </c>
      <c r="E134" s="181">
        <v>46037</v>
      </c>
      <c r="G134" s="128" t="s">
        <v>524</v>
      </c>
      <c r="H134" s="129" t="s">
        <v>541</v>
      </c>
      <c r="J134" s="203" t="s">
        <v>542</v>
      </c>
      <c r="K134" s="128" t="s">
        <v>543</v>
      </c>
    </row>
    <row r="135" customHeight="1" spans="2:11">
      <c r="B135" s="208" t="s">
        <v>544</v>
      </c>
      <c r="C135" s="158">
        <v>33</v>
      </c>
      <c r="D135" s="158">
        <v>97</v>
      </c>
      <c r="E135" s="181">
        <v>46037</v>
      </c>
      <c r="G135" s="128" t="s">
        <v>524</v>
      </c>
      <c r="H135" s="129" t="s">
        <v>545</v>
      </c>
      <c r="J135" s="203" t="s">
        <v>546</v>
      </c>
      <c r="K135" s="128" t="s">
        <v>547</v>
      </c>
    </row>
    <row r="136" customHeight="1" spans="2:11">
      <c r="B136" s="208" t="s">
        <v>548</v>
      </c>
      <c r="C136" s="158">
        <v>3</v>
      </c>
      <c r="D136" s="158">
        <v>82</v>
      </c>
      <c r="E136" s="181">
        <v>46045</v>
      </c>
      <c r="G136" s="128" t="s">
        <v>524</v>
      </c>
      <c r="H136" s="129" t="s">
        <v>549</v>
      </c>
      <c r="J136" s="203" t="s">
        <v>550</v>
      </c>
      <c r="K136" s="128" t="s">
        <v>551</v>
      </c>
    </row>
    <row r="137" customHeight="1" spans="2:11">
      <c r="B137" s="208" t="s">
        <v>552</v>
      </c>
      <c r="C137" s="158">
        <v>94</v>
      </c>
      <c r="D137" s="158">
        <v>338</v>
      </c>
      <c r="E137" s="181">
        <v>46048</v>
      </c>
      <c r="G137" s="128" t="s">
        <v>553</v>
      </c>
      <c r="H137" s="129" t="s">
        <v>554</v>
      </c>
      <c r="J137" s="203" t="s">
        <v>555</v>
      </c>
      <c r="K137" s="128" t="s">
        <v>556</v>
      </c>
    </row>
    <row r="138" customHeight="1" spans="2:11">
      <c r="B138" s="208" t="s">
        <v>557</v>
      </c>
      <c r="C138" s="158">
        <v>21</v>
      </c>
      <c r="D138" s="158">
        <v>28</v>
      </c>
      <c r="E138" s="181">
        <v>46048</v>
      </c>
      <c r="G138" s="128" t="s">
        <v>558</v>
      </c>
      <c r="H138" s="129" t="s">
        <v>559</v>
      </c>
      <c r="J138" s="203" t="s">
        <v>560</v>
      </c>
      <c r="K138" s="128" t="s">
        <v>561</v>
      </c>
    </row>
    <row r="139" customHeight="1" spans="2:11">
      <c r="B139" s="208" t="s">
        <v>562</v>
      </c>
      <c r="C139" s="158">
        <v>14</v>
      </c>
      <c r="D139" s="158">
        <v>28</v>
      </c>
      <c r="E139" s="181">
        <v>46048</v>
      </c>
      <c r="G139" s="128" t="s">
        <v>563</v>
      </c>
      <c r="H139" s="129" t="s">
        <v>564</v>
      </c>
      <c r="J139" s="203" t="s">
        <v>565</v>
      </c>
      <c r="K139" s="128" t="s">
        <v>566</v>
      </c>
    </row>
    <row r="140" customHeight="1" spans="2:11">
      <c r="B140" s="208" t="s">
        <v>567</v>
      </c>
      <c r="C140" s="158">
        <v>7</v>
      </c>
      <c r="D140" s="158">
        <v>31</v>
      </c>
      <c r="E140" s="181">
        <v>46038</v>
      </c>
      <c r="G140" s="128" t="s">
        <v>336</v>
      </c>
      <c r="H140" s="129" t="s">
        <v>568</v>
      </c>
      <c r="J140" s="203" t="s">
        <v>569</v>
      </c>
      <c r="K140" s="128" t="s">
        <v>570</v>
      </c>
    </row>
    <row r="141" customHeight="1" spans="2:11">
      <c r="B141" s="208" t="s">
        <v>571</v>
      </c>
      <c r="C141" s="158">
        <v>24</v>
      </c>
      <c r="D141" s="158">
        <v>59</v>
      </c>
      <c r="E141" s="181">
        <v>46049</v>
      </c>
      <c r="G141" s="128" t="s">
        <v>572</v>
      </c>
      <c r="H141" s="129" t="s">
        <v>573</v>
      </c>
      <c r="J141" s="203" t="s">
        <v>574</v>
      </c>
      <c r="K141" s="128" t="s">
        <v>575</v>
      </c>
    </row>
    <row r="142" customHeight="1" spans="2:11">
      <c r="B142" s="208" t="s">
        <v>576</v>
      </c>
      <c r="C142" s="158">
        <v>28</v>
      </c>
      <c r="D142" s="158">
        <v>90</v>
      </c>
      <c r="E142" s="181">
        <v>46048</v>
      </c>
      <c r="G142" s="128" t="s">
        <v>577</v>
      </c>
      <c r="H142" s="129" t="s">
        <v>578</v>
      </c>
      <c r="J142" s="203" t="s">
        <v>579</v>
      </c>
      <c r="K142" s="128" t="s">
        <v>580</v>
      </c>
    </row>
    <row r="143" customHeight="1" spans="2:11">
      <c r="B143" s="208" t="s">
        <v>581</v>
      </c>
      <c r="C143" s="158">
        <v>10</v>
      </c>
      <c r="D143" s="158">
        <v>32</v>
      </c>
      <c r="E143" s="181">
        <v>46038</v>
      </c>
      <c r="G143" s="128" t="s">
        <v>582</v>
      </c>
      <c r="H143" s="129" t="s">
        <v>582</v>
      </c>
      <c r="J143" s="203" t="s">
        <v>583</v>
      </c>
      <c r="K143" s="128" t="s">
        <v>584</v>
      </c>
    </row>
    <row r="144" customHeight="1" spans="2:11">
      <c r="B144" s="208" t="s">
        <v>585</v>
      </c>
      <c r="C144" s="158">
        <v>27</v>
      </c>
      <c r="D144" s="158">
        <v>43</v>
      </c>
      <c r="E144" s="181">
        <v>46038</v>
      </c>
      <c r="G144" s="128" t="s">
        <v>586</v>
      </c>
      <c r="H144" s="129" t="s">
        <v>587</v>
      </c>
      <c r="J144" s="203" t="s">
        <v>588</v>
      </c>
      <c r="K144" s="128" t="s">
        <v>589</v>
      </c>
    </row>
  </sheetData>
  <sheetProtection formatCells="0" insertHyperlinks="0" autoFilter="0"/>
  <autoFilter xmlns:etc="http://www.wps.cn/officeDocument/2017/etCustomData" ref="A2:FS144" etc:filterBottomFollowUsedRange="1">
    <extLst/>
  </autoFilter>
  <hyperlinks>
    <hyperlink ref="B3" r:id="rId1" location="polycard_client=search_best-seller&amp;tracking_id=1535cc4f-6c94-43d4-8d0b-b958f078cfac&amp;wid=MLM2204455863&amp;sid=search" display="Yyugolo Mesa Cromada Uso Rudo Sencilla Con Ruedas Inoxidable | Envío gratis (mercadolibre.com.mx)"/>
    <hyperlink ref="B4" r:id="rId2" location="polycard_client=search_best-seller&amp;tracking_id=1535cc4f-6c94-43d4-8d0b-b958f078cfac&amp;wid=MLM3868986366&amp;sid=search" display="Mesa Para Intrumental Medico Mesa Pasteur Mesa Con 4 Ruedas | Meses sin interés (mercadolibre.com.mx)"/>
    <hyperlink ref="B5" r:id="rId3" location="polycard_client=search_best-seller&amp;tracking_id=1535cc4f-6c94-43d4-8d0b-b958f078cfac&amp;wid=MLM1814941696&amp;sid=search" display="Mesa Pasteur Con Cajon Rodable Uso Rudo Envío Gratis | Envío gratis (mercadolibre.com.mx)"/>
    <hyperlink ref="B6" r:id="rId4" location="polycard_client=search_best-seller&amp;tracking_id=1535cc4f-6c94-43d4-8d0b-b958f078cfac&amp;wid=MLM3574040868&amp;sid=search" display="Mesa Mayo Con Charola Acero Inoxidable Ajustable Uso Rudo | Envío gratis (mercadolibre.com.mx)"/>
    <hyperlink ref="B7" r:id="rId5" location="polycard_client=search_best-seller&amp;tracking_id=bf226780-c93d-4a21-9e1b-87110fb4a09b&amp;wid=MLM3371369142&amp;sid=search" display="Andadera Ortopedica de Doble Apoyo para Adulto Andador Ortopédico de Aluminio Plegable Soporta 100kg Tikun Color Negro | Envío gratis (mercadolibre.com.mx)"/>
    <hyperlink ref="B8" r:id="rId6" location="polycard_client=search_best-seller&amp;tracking_id=bf226780-c93d-4a21-9e1b-87110fb4a09b&amp;wid=MLM3371377348&amp;sid=search" display="Andadera Ortopédica Fija Tikun Para Adulto Plegable De Aluminio Negro | Envío gratis (mercadolibre.com.mx)"/>
    <hyperlink ref="B9" r:id="rId7" location="polycard_client=search_best-seller&amp;tracking_id=bf226780-c93d-4a21-9e1b-87110fb4a09b&amp;wid=MLM3581348578&amp;sid=search" display="Andadera ortopédica con ruedas Dewinner HS-ZLQ color plateado | Envío gratis (mercadolibre.com.mx)"/>
    <hyperlink ref="B10" r:id="rId8" location="polycard_client=search_best-seller&amp;tracking_id=5dd7c195-f30b-46ea-93d1-db3bce0cf254&amp;wid=MLM3623005456&amp;sid=search" display="Porta Sueros Acero Inox 3 Ruedas Base De Hierro Con Cubierta | Meses sin interés (mercadolibre.com.mx)"/>
    <hyperlink ref="B11" r:id="rId9" display="Modulo Ventilador Para Mazda 3 5 Ford Focus Fusion Escape | Meses sin interés" tooltip="https://articulo.mercadolibre.com.mx/MLM-1876794321-modulo-ventilador-para-mazda-3-5-ford-focus-fusion-escape-_JM"/>
    <hyperlink ref="B13" r:id="rId10" display="Modulo Control Ventilador Focus 2 Mazda 3 Volvo C30 S40 V50 | Envío gratis" tooltip="https://www.mercadolibre.com.mx/modulo-control-ventilador-focus-2-mazda-3-volvo-c30-s40-v50/up/MLMU465628608?pdp_filters=item_id:MLM1593435083"/>
    <hyperlink ref="B14" r:id="rId11" display="Modulo Ventilador Ford Land Rover Jaguar Volvo S60 Xc60 | Envío gratis" tooltip="https://articulo.mercadolibre.com.mx/MLM-2153237685-modulo-ventilador-ford-land-rover-jaguar-volvo-s60-xc60-_JM"/>
    <hyperlink ref="B16" r:id="rId12" display="https://articulo.mercadolibre.com.mx/MLM-3117809716-alternador-chevrolet-aveo-15-85a-2018-2019-2020-2021-2022-_JM#polycard_client=search_best-seller&amp;tracking_id=308eb0f8-3e9c-40b5-988b-e5fca241b761" tooltip="https://articulo.mercadolibre.com.mx/MLM-3117809716-alternador-chevrolet-aveo-15-85a-2018-2019-2020-2021-2022-_JM#polycard_client=search_best-seller&amp;tracking_id=308eb0f8-3e9c-40b5-988b-e5fca241b761"/>
    <hyperlink ref="B17" r:id="rId13" display="https://www.mercadolibre.com.mx/alternador-para-fiat-uno-mobi-500-092023-ram-rapid-1723/up/MLMU458091911#polycard_client=search_best-seller&amp;tracking_id=c00fdf92-bf20-49d5-890d-57c15933cb7e&amp;wid=MLM3311433164&amp;sid=search" tooltip="https://www.mercadolibre.com.mx/alternador-para-fiat-uno-mobi-500-092023-ram-rapid-1723/up/MLMU458091911#polycard_client=search_best-seller&amp;tracking_id=c00fdf92-bf20-49d5-890d-57c15933cb7e&amp;wid=MLM3311433164&amp;sid=search"/>
    <hyperlink ref="B19" r:id="rId14" location="polycard_client=search_best-seller&amp;tracking_id=2db1423a-207f-4b09-9cad-f9b70c603db7" display="Resorte Reloj 84306-22010 Para 2006-2014 Toyota Yaris | Envío gratis"/>
    <hyperlink ref="B23" r:id="rId15" display="Resorte Reloj Pista Carrete Para Nissan X-tail Tiida 07-18 | MercadoLibre" tooltip="https://articulo.mercadolibre.com.mx/MLM-3447497418-resorte-reloj-pista-carrete-para-nissan-x-tail-tiida-07-18-_JM"/>
    <hyperlink ref="B25" r:id="rId16" display="Resorte Reloj S/sensor Ángulo Compass Patriot 200 2007-2018 | Envío gratis" tooltip="https://www.mercadolibre.com.mx/resorte-reloj-ssensor-angulo-compass-patriot-200-20072018/up/MLMU441480915?pdp_filters=item_id:MLM1303895713"/>
    <hyperlink ref="B26" r:id="rId17" display="Fy Pista Carrete Resorte Reloj Para Chevrolet Beat 2018-2021 | Meses sin interés" tooltip="https://articulo.mercadolibre.com.mx/MLM-3581485390-fy-pista-carrete-resorte-reloj-para-chevrolet-beat-2018-2021-_JM"/>
    <hyperlink ref="B28" r:id="rId18" display="Resorte Reloj Pista Carrete Nissan X-trail 2008-2014 1 Cable | MercadoLibre" tooltip="https://articulo.mercadolibre.com.mx/MLM-2825542114-resorte-reloj-pista-carrete-nissan-x-trail-2008-2014-1-cable-_JM"/>
    <hyperlink ref="B30" r:id="rId19" display="Fy Carrete Resorte Reloj Espiral For Aveo Ng 2018/21 | MercadoLibre" tooltip="https://articulo.mercadolibre.com.mx/MLM-2449200213-fy-carrete-resorte-reloj-espiral-for-aveo-ng-201821-_JM"/>
    <hyperlink ref="B27" r:id="rId20" display="https://articulo.mercadolibre.com.mx/MLM-2236159097-resorte-reloj-para-elantra-sonata-2011-2012-2013-2014-2015-_JM"/>
    <hyperlink ref="B31" r:id="rId21" display="https://articulo.mercadolibre.com.mx/MLM-3359259692-marcha-volkswage-golf-jetta-87-99-caribe-78-89-encendido-_JM#polycard_client=search_best-seller&amp;tracking_id=4de6f91b-01bf-43f2-bd15-e757002642ed" tooltip="https://articulo.mercadolibre.com.mx/MLM-3359259692-marcha-volkswage-golf-jetta-87-99-caribe-78-89-encendido-_JM#polycard_client=search_best-seller&amp;tracking_id=4de6f91b-01bf-43f2-bd15-e757002642ed"/>
    <hyperlink ref="B32" r:id="rId22" display="https://www.mercadolibre.com.mx/marcha-para-chevrolet-aveo-0417-tornado-0410-pontiac-g3/up/MLMU2863668269#polycard_client=search_best-seller&amp;tracking_id=0f2c14e6-eaa7-4f26-87e4-67e0a36b0da7&amp;wid=MLM3481305334&amp;sid=search" tooltip="https://www.mercadolibre.com.mx/marcha-para-chevrolet-aveo-0417-tornado-0410-pontiac-g3/up/MLMU2863668269#polycard_client=search_best-seller&amp;tracking_id=0f2c14e6-eaa7-4f26-87e4-67e0a36b0da7&amp;wid=MLM3481305334&amp;sid=search"/>
    <hyperlink ref="B34" r:id="rId23" display="https://www.mercadolibre.com.mx/marcha-para-nissan-versa-tiida-march-note-20092019-16l/up/MLMU2908349051#polycard_client=search_best-seller&amp;tracking_id=9d239245-9811-4bc1-aa4b-95c57c8549b5&amp;wid=MLM2209491185&amp;sid=search" tooltip="https://www.mercadolibre.com.mx/marcha-para-nissan-versa-tiida-march-note-20092019-16l/up/MLMU2908349051#polycard_client=search_best-seller&amp;tracking_id=9d239245-9811-4bc1-aa4b-95c57c8549b5&amp;wid=MLM2209491185&amp;sid=search"/>
    <hyperlink ref="B35" r:id="rId24" display="https://www.mercadolibre.com.mx/marcha-tsuru-19842017-sentra-821999-transmision-std-8-dts/up/MLMU509343700#polycard_client=search_best-seller&amp;tracking_id=36da195b-0e57-462b-8963-8765c8e102b9&amp;wid=MLM3098337328&amp;sid=search" tooltip="https://www.mercadolibre.com.mx/marcha-tsuru-19842017-sentra-821999-transmision-std-8-dts/up/MLMU509343700#polycard_client=search_best-seller&amp;tracking_id=36da195b-0e57-462b-8963-8765c8e102b9&amp;wid=MLM3098337328&amp;sid=search"/>
    <hyperlink ref="B36" r:id="rId25" display="https://www.mercadolibre.com.mx/marcha-p-chevrolet-c1500-c2500-c3500-silverado-suburban-11d/up/MLMU2836302409#polycard_client=search_best-seller&amp;tracking_id=e485248c-2905-47ae-bd09-2a75f1d94977&amp;wid=MLM3472649120&amp;sid=search"/>
    <hyperlink ref="B33" r:id="rId26" display="Marcha Para Chevrolet Chevy 1994-2012, Astra, Corsa 00-08 9d | Envío gratis" tooltip="https://www.mercadolibre.com.mx/marcha-para-chevrolet-chevy-19942012-astra-corsa-0008-9d/up/MLMU2581993142?pdp_filters=item_id:MLM2171330789"/>
    <hyperlink ref="B38" r:id="rId27" display="https://articulo.mercadolibre.com.mx/MLM-2283820517-bomba-vacio-cruze-spark-malibu-14-15-2016-2017-2018-2019-_JM#polycard_client=search_best-seller&amp;tracking_id=0b0dbe29-5eda-4616-8069-322daa9e055a" tooltip="https://articulo.mercadolibre.com.mx/MLM-2283820517-bomba-vacio-cruze-spark-malibu-14-15-2016-2017-2018-2019-_JM#polycard_client=search_best-seller&amp;tracking_id=0b0dbe29-5eda-4616-8069-322daa9e055a"/>
    <hyperlink ref="B40" r:id="rId28" display="Bomba Vacio Vw Golf Beetle Bora Passat Jetta 2.5 2005-2017 | Envío gratis" tooltip="https://articulo.mercadolibre.com.mx/MLM-2781577598-bomba-vacio-vw-golf-beetle-bora-passat-jetta-25-2005-2017-_JM"/>
    <hyperlink ref="B42" r:id="rId29" display="https://articulo.mercadolibre.com.mx/MLM-2595008336-bobina-encendido-x-trail-25-2002-2003-2004-2005-2006-2007-_JM" tooltip="https://articulo.mercadolibre.com.mx/MLM-2595008336-bobina-encendido-x-trail-25-2002-2003-2004-2005-2006-2007-_JM"/>
    <hyperlink ref="B43" r:id="rId30" display="https://articulo.mercadolibre.com.mx/MLM-2048104771-bobina-encendido-f-350-super-duty-54l-99-04-fd503-ic39-_JM" tooltip="https://articulo.mercadolibre.com.mx/MLM-2048104771-bobina-encendido-f-350-super-duty-54l-99-04-fd503-ic39-_JM"/>
    <hyperlink ref="B44" r:id="rId31" display="https://articulo.mercadolibre.com.mx/MLM-2264069447-par-solenoide-vvt-captiva-equinox-hhr-malibu-terrain-nuevo-_JM#polycard_client=search_best-seller&amp;tracking_id=9e0727a3-de60-4246-8cf6-107bae10046a&amp;wid=MLM2264069447&amp;sid=search" tooltip="https://articulo.mercadolibre.com.mx/MLM-2264069447-par-solenoide-vvt-captiva-equinox-hhr-malibu-terrain-nuevo-_JM#polycard_client=search_best-seller&amp;tracking_id=9e0727a3-de60-4246-8cf6-107bae10046a&amp;wid=MLM2264069447&amp;sid=search"/>
    <hyperlink ref="B46" r:id="rId32" display="https://articulo.mercadolibre.com.mx/MLM-2166283691-valvula-selenoide-vtec-para-honda-crv-24l-anos-2002-2009-_JM#polycard_client=search_best-seller&amp;tracking_id=e9ca670c-8b60-4804-ba37-94a81c0ba396&amp;wid=MLM2166283691&amp;sid=search" tooltip="https://articulo.mercadolibre.com.mx/MLM-2166283691-valvula-selenoide-vtec-para-honda-crv-24l-anos-2002-2009-_JM#polycard_client=search_best-seller&amp;tracking_id=e9ca670c-8b60-4804-ba37-94a81c0ba396&amp;wid=MLM2166283691&amp;sid=search"/>
    <hyperlink ref="B45" r:id="rId33" display="Válvula Solenoide Vvt Nissan Tiida Versa 1.8 2007-2015 Nuevo | Meses sin interés" tooltip="https://articulo.mercadolibre.com.mx/MLM-2331455809-valvula-solenoide-vvt-nissan-tiida-versa-18-2007-2015-nuevo-_JM"/>
    <hyperlink ref="B50" r:id="rId34" display="Par De Amortiguadores Cajuela Seat Ibiza 2003-2009 | Meses sin interés" tooltip="https://articulo.mercadolibre.com.mx/MLM-2219378907-par-de-amortiguadores-cajuela-seat-ibiza-2003-2009-_JM"/>
    <hyperlink ref="B12" r:id="rId35" display="Modulo Moto Ventilador Ford Edge 3.5l 2007 Al 2015 | Envío gratis" tooltip="https://articulo.mercadolibre.com.mx/MLM-2393311695-modulo-moto-ventilador-ford-edge-35l-2007-al-2015-_JM"/>
    <hyperlink ref="B15" r:id="rId36" display="Módulo Ventilador Ford Fusion Lincoln Mkz 3.5 2010 2011 2012 | Envío gratis" tooltip="https://www.mercadolibre.com.mx/modulo-ventilador-ford-fusion-lincoln-mkz-35-2010-2011-2012/up/MLMU3167952861?pdp_filters=item_id:MLM2307567193"/>
    <hyperlink ref="B21" r:id="rId37" display="Pista Espiral Volante Claxon Bolsa Versa 12-19 March 12-20 | Meses sin interés" tooltip="https://articulo.mercadolibre.com.mx/MLM-2670075570-pista-espiral-volante-claxon-bolsa-versa-12-19-march-12-20-_JM"/>
    <hyperlink ref="B22" r:id="rId38" display="Resorte Reloj Sensor Para Jeep Patriot 2007 A 2016 | Meses sin interés" tooltip="https://articulo.mercadolibre.com.mx/MLM-3438368768-resorte-reloj-sensor-para-jeep-patriot-2007-a-2016-_JM"/>
    <hyperlink ref="B24" r:id="rId39" display="Resorte De Reloj Para Toyota Tacoma Corolla 2009 - 2013 Bsj | MercadoLibre" tooltip="https://articulo.mercadolibre.com.mx/MLM-1728368001-resorte-de-reloj-para-toyota-tacoma-corolla-2009-2013-bsj-_JM"/>
    <hyperlink ref="B29" r:id="rId40" display="Resorte Reloj Pista Carrete Espiral Toyota Tacoma 2005-2014 Negro | Envío gratis" tooltip="https://www.mercadolibre.com.mx/resorte-reloj-pista-carrete-espiral-toyota-tacoma-20052014/up/MLMU3186312660?pdp_filters=item_id:MLM3699651024"/>
    <hyperlink ref="B37" r:id="rId41" display="Bomba Vacio Booster Frenos Trax Onix 1.0 1.2 2021 2022 | Envío gratis" tooltip="https://www.mercadolibre.com.mx/bomba-vacio-booster-frenos-trax-onix-10-12-2021-2022/up/MLMU3114351752?pdp_filters=item_id:MLM3625922068"/>
    <hyperlink ref="B39" r:id="rId42" display="Bomba Vacio Chevrolet S10 Malibu 2.0 2.5 2016 2017 2018-2022 | Envío gratis" tooltip="https://www.mercadolibre.com.mx/bomba-vacio-chevrolet-s10-malibu-20-25-2016-2017-20182022/up/MLMU3359981632?pdp_filters=item_id:MLM2406157361"/>
    <hyperlink ref="B41" r:id="rId43" display="Bobina Encendido Peugeot 206 207 308 Partner 1.6 2001-2013 | Envío gratis" tooltip="https://www.mercadolibre.com.mx/bobina-encendido-peugeot-206-207-308-partner-16-20012013/up/MLMU694178379?pdp_filters=item_id:MLM1343484405"/>
    <hyperlink ref="B69" r:id="rId44" location="polycard_client=search_best-seller-categories&amp;tracking_id=81168e2f-4d71-4870-98ff-f96a0c75a097&amp;wid=MLM3495594084&amp;sid=search" display="50plato Base,plato Base Dorado,para Vento,decoración De Mesa Dorado Oscuro Lisa | Envío gratis"/>
    <hyperlink ref="B70" r:id="rId45" display="https://articulo.mercadolibre.com.mx/MLM-4244427330-porta-suero-con-base-de-acero-inoxidable-4-ganchos-ajustable-_JM#polycard_client=search_best-seller&amp;tracking_id=9d1b34c6-9202-4e3e-bc85-8f191599ab49" tooltip="https://articulo.mercadolibre.com.mx/MLM-4244427330-porta-suero-con-base-de-acero-inoxidable-4-ganchos-ajustable-_JM#polycard_client=search_best-seller&amp;tracking_id=9d1b34c6-9202-4e3e-bc85-8f191599ab49"/>
    <hyperlink ref="B71" r:id="rId46" display="https://www.mercadolibre.com.mx/porta-suero-tripie-base-de-metalica-4-ganchos-ajustable/up/MLMU3439512412#polycard_client=search_best-seller&amp;tracking_id=9d1b34c6-9202-4e3e-bc85-8f191599ab49&amp;wid=MLM4111535692&amp;sid=search" tooltip="https://www.mercadolibre.com.mx/porta-suero-tripie-base-de-metalica-4-ganchos-ajustable/up/MLMU3439512412#polycard_client=search_best-seller&amp;tracking_id=9d1b34c6-9202-4e3e-bc85-8f191599ab49&amp;wid=MLM4111535692&amp;sid=search"/>
    <hyperlink ref="B72" r:id="rId47" location="polycard_client=search-nordic&amp;searchVariation=180049397326&amp;search_layout=grid&amp;position=30&amp;type=item&amp;tracking_id=0b990dda-161d-4eac-a033-01ae365f2725" display="Toldo Techo Para Puerta Ventana De Policarbonato 120 X 80cm | Envío gratis (mercadolibre.com.mx)"/>
    <hyperlink ref="B73" r:id="rId48" location="polycard_client=search_best-seller&amp;tracking_id=82be3e71-9b1f-4b2a-ab6b-c789ed795fe0" display="360 ° Gira El Grifo Del Fregadero De La Tercera Marcha 2pcs | Meses sin interés (mercadolibre.com.mx)"/>
    <hyperlink ref="B74" r:id="rId49" location="polycard_client=search-nordic&amp;search_layout=grid&amp;position=18&amp;type=item&amp;tracking_id=77d19977-e8b2-4eb8-ba91-3b6d04304c40" display="用于切割1/2和3/4 PVC管螺纹的工具 |免息月份 (mercadolibre.com.mx)"/>
    <hyperlink ref="B75" r:id="rId50" display="Cepillo Para Limpiar Manguera De Acuario 155 Cm Azul | MercadoLibre" tooltip="https://articulo.mercadolibre.com.mx/MLM-2331302585-cepillo-para-limpiar-manguera-de-acuario-155-cm-azul-_JM"/>
    <hyperlink ref="B76" r:id="rId51" location="polycard_client=search-nordic&amp;search_layout=grid&amp;position=4&amp;type=product&amp;tracking_id=a923adcf-5395-4e03-b558-2fd81477decf&amp;wid=MLM2012191783&amp;sid=search" display="Válvula Reguladora Para Compresores 25/50l 19327 | Envío gratis (mercadolibre.com.mx)"/>
    <hyperlink ref="B77" r:id="rId52" location="polycard_client=search_best-seller&amp;tracking_id=d9b43e1f-804b-4203-9786-f005a7bfcba5&amp;wid=MLM3597591150&amp;sid=search" display="4 Unidades Goma Pointer Base Gol Saveiro Jetta A4 A3 | Envío gratis (mercadolibre.com.mx)"/>
    <hyperlink ref="B78" r:id="rId53" location="polycard_client=search-nordic&amp;search_layout=grid&amp;position=1&amp;type=item&amp;tracking_id=d6c448b1-1c73-42dc-ab35-6dbc40958146&amp;wid=MLM2202811829&amp;sid=search" display="Cuenta Golpes 5 Digitos Alta Calidad Cuenta Pacas | Meses sin interés (mercadolibre.com.mx)"/>
    <hyperlink ref="B79" r:id="rId54" location="polycard_client=mshops-appearance-api&amp;component=collection_grid&amp;source=eshops&amp;title=Productos+recomendados&amp;tracking_id=df4d386a-6919-4805-a763-65e75d55b462&amp;global_position=7" display="Letras Y Numeros De Golpe 3 Mm Con Estuche 36 Pzs / Set | MercadoLibre"/>
    <hyperlink ref="B80" r:id="rId55" location="polycard_client=search-nordic&amp;search_layout=grid&amp;position=6&amp;type=product&amp;tracking_id=601e4fc8-f096-4ce8-bc07-d7eb0e5f9406&amp;wid=MLM2237634007&amp;sid=search" display="Grapa Soporte Para Parrilla De Enfriadores De Botella 10 Pz | Envío gratis (mercadolibre.com.mx)"/>
    <hyperlink ref="B81" r:id="rId56" display="Boquilla Doble Fumigadora Aspersora Riego Jardín Agrícola | Envío gratis (mercadolibre.com.mx)" tooltip="https://articulo.mercadolibre.com.mx/MLM-3524980456-boquilla-doble-fumigadora-aspersora-riego-jardin-agricola-_JM"/>
    <hyperlink ref="B82" r:id="rId57" location="polycard_client=search_best-seller&amp;tracking_id=f8ed6c6a-0cca-4b04-a776-c211b7bf8ef1&amp;wid=MLM2220911355&amp;sid=search" display="Cuchillas De Cepillo Hss De 82 Mm Para Makita Y Otras Marcas | Meses sin interés (mercadolibre.com.mx)"/>
    <hyperlink ref="B55" r:id="rId58" display="https://www.mercadolibre.com.mx/mesa-pasteur-con-cajon-uso-rudo-envio-gratis-facturada/p/MLM2039970772?pdp_filters=item_id:MLM2294543411" tooltip="https://www.mercadolibre.com.mx/mesa-pasteur-con-cajon-uso-rudo-envio-gratis-facturada/p/MLM2039970772?pdp_filters=item_id:MLM2294543411"/>
    <hyperlink ref="B56" r:id="rId59" display="Mesa Pasteur 100% Acero Inoxidable 60x40x90 Cm | Envío gratis" tooltip="https://www.mercadolibre.com.mx/mesa-pasteur-100-acero-inoxidable-60x40x90-cm/p/MLM46857981?pdp_filters=item_id:MLM3587999114"/>
    <hyperlink ref="B52" r:id="rId60" display="Mesa Pasteur Totalmente De Acero Inoxidable | Meses sin interés" tooltip="https://www.mercadolibre.com.mx/mesa-pasteur-totalmente-de-acero-inoxidable/p/MLM2038743361?pdp_filters=item_id:MLM682599918"/>
    <hyperlink ref="B53" r:id="rId61" display="Mesa Pasteur Para Dialisis Con Portasueros Envío Gratis | Envío gratis" tooltip="https://articulo.mercadolibre.com.mx/MLM-1908345425-mesa-pasteur-para-dialisis-con-portasueros-envio-gratis-_JM"/>
    <hyperlink ref="B54" r:id="rId62" display="Carrito De Médico De Acero Inoxidable, Mesa Para Instrumental Médico, Con 2 Cajones + 2 Bandejas De Acero Inoxidable Adicionales | Envío gratis" tooltip="https://www.mercadolibre.com.mx/carrito-de-medico-de-acero-inoxidable-mesa-para-instrumental-medico-con-2-cajones-2-bandejas-de-acero-inoxidable-adicionales/p/MLM53478824?pdp_filters=item_id:MLM2495739491"/>
    <hyperlink ref="B51" r:id="rId63" display="Mesa Pasteur Cromada Uso Rudo Envío Gratis Y Factura | Envío gratis" tooltip="https://articulo.mercadolibre.com.mx/MLM-1814830918-mesa-pasteur-cromada-uso-rudo-envio-gratis-y-factura-_JM"/>
    <hyperlink ref="B57" r:id="rId64" display="https://articulo.mercadolibre.com.mx/MLM-3412424772-mesa-pasteur-grado-hospitalario-salon-de-belleza-spa-_JM#polycard_client=search-nordic&amp;search_layout=grid&amp;position=1&amp;type=item&amp;tracking_id=d92c673d-14e6-44cd-92d9-ac0be745bd4a&amp;wid=MLM3412424772&amp;sid=search" tooltip="https://articulo.mercadolibre.com.mx/MLM-3412424772-mesa-pasteur-grado-hospitalario-salon-de-belleza-spa-_JM#polycard_client=search-nordic&amp;search_layout=grid&amp;position=1&amp;type=item&amp;tracking_id=d92c673d-14e6-44cd-92d9-ac0be745bd4a&amp;wid=MLM3412424772&amp;sid=searc"/>
    <hyperlink ref="B58" r:id="rId65" display="Tm-mesa Mayo Con Charola Acero Inoxidable Ajustable Uso Rudo | Envío gratis" tooltip="https://articulo.mercadolibre.com.mx/MLM-3657401840-tm-mesa-mayo-con-charola-acero-inoxidable-ajustable-uso-rudo-_JM"/>
    <hyperlink ref="B59" r:id="rId66" display="Charola Mesa Isla Doble Acero Inoxidable 110x50x85 Cm Color Gris Mindejal | Meses sin interés" tooltip="https://www.mercadolibre.com.mx/charola-mesa-isla-doble-acero-inoxidable-110x50x85-cm-color-gris-mindejal/p/MLM49021593?pdp_filters=item_id:MLM2304429953"/>
    <hyperlink ref="B60" r:id="rId67" display="Repisa C/soporte Acero Inoxidable Marca Mindejal 1.00 Mts | Meses sin interés" tooltip="https://www.mercadolibre.com.mx/repisa-csoporte-acero-inoxidable-marca-mindejal-100-mts/up/MLMU558318943"/>
    <hyperlink ref="B61" r:id="rId68" display="Mesa A Pared 100% Acero Inoxidable 120x60x90 Marca Ferrinox | Meses sin interés" tooltip="https://www.mercadolibre.com.mx/mesa-a-pared-100-acero-inoxidable-120x60x90-marca-ferrinox/p/MLM52259435?pdp_filters=item_id:MLM2369141413"/>
    <hyperlink ref="B62" r:id="rId69" display="Mesa Con Repisa 100% Acero Inoxidable Marca Ferrinox | Meses sin interés" tooltip="https://www.mercadolibre.com.mx/mesa-con-repisa-100-acero-inoxidable-marca-ferrinox/p/MLM52241630?pdp_filters=item_id:MLM3825116996"/>
    <hyperlink ref="B63" r:id="rId70" display="Mesa En Isla Cubierta Acero Inox 90x70x90 Marca Ferrinox | Meses sin interés" tooltip="https://www.mercadolibre.com.mx/mesa-en-isla-cubierta-acero-inox-90x70x90-marca-ferrinox/p/MLM52273390?pdp_filters=item_id:MLM3825455312"/>
    <hyperlink ref="B64" r:id="rId71" display="Mesa Apoyo 100 % Acero Inoxidable 50×50×50 Marca Ferrinox | Meses sin interés" tooltip="https://www.mercadolibre.com.mx/mesa-apoyo-100-acero-inoxidable-505050-marca-ferrinox/p/MLM53382165?pdp_filters=item_id:MLM3883522934"/>
    <hyperlink ref="B65" r:id="rId72" display="Mesa Isla Doble 100% Acero Inox 60x60x90 Marca Ferrinox | Meses sin interés" tooltip="https://www.mercadolibre.com.mx/mesa-isla-doble-100-acero-inox-60x60x90-marca-ferrinox/p/MLM52218143?pdp_filters=item_id:MLM3824894048"/>
    <hyperlink ref="B66" r:id="rId73" display="Mesa Móvil Laboratorio Escuelas Ruedas Giratorias 3 Enchufes | Meses sin interés" tooltip="https://articulo.mercadolibre.com.mx/MLM-3491805792-mesa-movil-laboratorio-escuelas-ruedas-giratorias-3-enchufes-_JM"/>
    <hyperlink ref="B67" r:id="rId74" display="Maniquí Para Capacitación De Rcp | Meses sin interés" tooltip="https://www.mercadolibre.com.mx/maniqui-para-capacitacion-de-rcp/p/MLM48355193?pdp_filters=item_id:MLM3638544806"/>
    <hyperlink ref="B68" r:id="rId75" display="Repisa Con Garabato 100 Cm Color Gris | Meses sin interés" tooltip="https://www.mercadolibre.com.mx/repisa-con-garabato-100-cm-color-gris/p/MLM46822649?pdp_filters=item_id:MLM3586764692"/>
    <hyperlink ref="B18" r:id="rId76" display="Muelle Reloj Para Nissan Np300 Navara D23 2.5lts 2016-2020 | Meses sin interés" tooltip="https://articulo.mercadolibre.com.mx/MLM-3814162412-muelle-reloj-para-nissan-np300-navara-d23-25lts-2016-2020-_JM"/>
    <hyperlink ref="B20" r:id="rId77" display="Espiral Reloj Pista Carrete Mazda 3 2004 2005 2006 2007 2008 | Envío gratis" tooltip="https://www.mercadolibre.com.mx/espiral-reloj-pista-carrete-mazda-3-2004-2005-2006-2007-2008/up/MLMU459534622?pdp_filters=item_id:MLM1451096521"/>
    <hyperlink ref="B47" r:id="rId78" location="polycard_client=search-desktop&amp;search_layout=grid&amp;position=7&amp;type=product&amp;tracking_id=11bf64c6-f24d-4cc8-a5a9-a48146a70daa&amp;wid=MLM3461427410&amp;sid=search" display="Par Amortiguadores De Cajuela Nissan March 2012-2018 90451 | Envío gratis"/>
    <hyperlink ref="B48" r:id="rId79" display="Par De Amortiguadores Cajuela Vw Pointer 1998 Al 2009 Oep | Envío gratis" tooltip="https://articulo.mercadolibre.com.mx/MLM-2467898254-par-de-amortiguadores-cajuela-vw-pointer-1998-al-2009-oep-_JM"/>
    <hyperlink ref="B49" r:id="rId80" display="2 Amortiguadores Cajuela Jetta A4 1999-2015 | Envío gratis" tooltip="https://www.mercadolibre.com.mx/2-amortiguadores-cajuela-jetta-a4-19992015/up/MLMU561302256?pdp_filters=item_id:MLM1614210250"/>
    <hyperlink ref="B83" r:id="rId81" location="polycard_client=search-nordic&amp;search_layout=grid&amp;position=20&amp;type=product&amp;tracking_id=0cf632f1-e42f-412a-975f-e166ef265c67&amp;wid=MLM3780702938&amp;sid=search" display="Ak47 Riel Picatinny Dust Cover Tapadera Superior Riel Alumin | Envío gratis (mercadolibre.com.mx)"/>
    <hyperlink ref="B84" r:id="rId82" location="polycard_client=recommendations_vip-pads-up&amp;reco_backend=recomm_platform_base_pads_rfa_marketplace&amp;reco_model=rk_ent_v2_retsys_ads&amp;reco_client=vip-pads-up&amp;reco_item_pos=2&amp;reco_backend_type=low_level&amp;reco_id=a0b11466-c135-467e-a19b-6ff14ecb40d0&amp;wid=MLM2309182909&amp;sid=recos&amp;is_advertising=true&amp;ad_domain=VIPDESKTOP_UP&amp;ad_position=3&amp;ad_click_id=NWI0M2M1YWEtM2FhOS00ODQ0LTk4MTEtMzg0OWRhODExYmYw" display="Guardamanos Enfriador Tactico Ar -15 / M4 Gotcha Airsoft | Meses sin interés"/>
    <hyperlink ref="B85" r:id="rId83" location="polycard_client=recommendations_vip-pads-up&amp;reco_backend=recomm_platform_base_pads_rfa_marketplace&amp;reco_model=rk_ent_v2_retsys_ads&amp;reco_client=vip-pads-up&amp;reco_item_pos=0&amp;reco_backend_type=low_level&amp;reco_id=9a31054a-581b-4208-ace1-a2db0c170647&amp;wid=MLM2211606227&amp;sid=recos&amp;is_advertising=true&amp;ad_domain=VIPDESKTOP_UP&amp;ad_position=1&amp;ad_click_id=M2JkNGMzYzctNGQ4ZC00YjczLWJiMTUtYjE4YTQyYjc4ZDE1" display="Pack Carry Handle Asa Transporte Militar Ar15 M4 M16 Ak47 | Envío gratis"/>
    <hyperlink ref="B87" r:id="rId84" location="polycard_client=search_best-seller&amp;tracking_id=1fc6f565-8662-48ac-a99a-dc3cd2c917ab&amp;wid=MLM2049942697&amp;sid=search" display="2 Monturas 11mm Tactica Alta Anilletas Riel Picatinny Rifles | Envío gratis"/>
    <hyperlink ref="B88" r:id="rId85" location="polycard_client=search_best-seller&amp;tracking_id=1fc6f565-8662-48ac-a99a-dc3cd2c917ab&amp;wid=MLM3162774094&amp;sid=search" display="Montura Scope Monopieza Tactica Mira Telescopica Rifle Caza | Envío gratis"/>
    <hyperlink ref="B89" r:id="rId86" location="polycard_client=search_best-seller&amp;tracking_id=1fc6f565-8662-48ac-a99a-dc3cd2c917ab&amp;wid=MLM2342714282&amp;sid=search" display="Mira Holografica Co2 Punto Rojo Ar Riel 20mm Gotcha Red Dot | Meses sin interés"/>
    <hyperlink ref="B90" r:id="rId87" location="polycard_client=search_best-seller&amp;tracking_id=d81eae0e-1349-4419-a831-106f6b4e48f3" display="100pz Grapas Industriales Para Lambrin Interior Decorativo | Envío gratis"/>
    <hyperlink ref="B91" r:id="rId88" location="polycard_client=search-nordic&amp;search_layout=grid&amp;position=3&amp;type=item&amp;tracking_id=530ef97b-3002-429c-956f-6a31c75883e9&amp;wid=MLM3691795010&amp;sid=search" display="Goniómetro 1/2 Para Torque Angular Y Cabezal Cuadrado | Envío gratis (mercadolibre.com.mx)"/>
    <hyperlink ref="B92" r:id="rId89" display="https://www.mercadolibre.com.mx/1-pieza-multifuncional-6-en-1-llave-para-ajustar-rayos-moto/up/MLMU3077502231#polycard_client=search-nordic&amp;search_layout=grid&amp;position=2&amp;type=product&amp;tracking_id=c0575694-0252-4634-80a6-7741b0323090&amp;wid=MLM2263346891&amp;sid=search" tooltip="https://www.mercadolibre.com.mx/1-pieza-multifuncional-6-en-1-llave-para-ajustar-rayos-moto/up/MLMU3077502231#polycard_client=search-nordic&amp;search_layout=grid&amp;position=2&amp;type=product&amp;tracking_id=c0575694-0252-4634-80a6-7741b0323090&amp;wid=MLM2263346891&amp;sid=s"/>
    <hyperlink ref="B93" r:id="rId90" location="polycard_client=search-desktop&amp;search_layout=grid&amp;position=3&amp;type=item&amp;tracking_id=92a41d7d-f6a4-4cb3-9952-db31512d1267&amp;wid=MLM1989406637&amp;sid=search" display="Electroválvula Válvula Agua 1/4 Solenoide 24 V Arduino Pic | Envío gratis (mercadolibre.com.mx)"/>
    <hyperlink ref="B94" r:id="rId91" display="Cargador De Batería Para Dewalt Litio Dcb112 12v 14.4v 18v | Envío gratis (mercadolibre.com.mx)" tooltip="https://articulo.mercadolibre.com.mx/MLM-2597939244-cargador-de-bateria-para-dewalt-litio-dcb112-12v-144v-18v-_JM"/>
    <hyperlink ref="B86" r:id="rId92" display="Riel Base Universal Cal 22 Ruger Adaptar Riel 11 Mm Y Weaver | Meses sin interés" tooltip="https://articulo.mercadolibre.com.mx/MLM-1925211339-riel-base-universal-cal-22-ruger-adaptar-riel-11-mm-y-weaver-_JM"/>
    <hyperlink ref="B95" r:id="rId93" location="polycard_client=search-nordic&amp;search_layout=grid&amp;position=6&amp;type=product&amp;tracking_id=e6b74fe0-7dac-4261-821a-3698039ae8b9&amp;wid=MLM2487430027&amp;sid=search" display="Balanza Cuchara Digital Medidora Precisión 0.1 A 500g | Envío gratis"/>
    <hyperlink ref="B96" r:id="rId94" display="Soporte Con Ventosa Compatible Con Gopro Hero 13 12 11 10 9 | MercadoLibre" tooltip="https://articulo.mercadolibre.com.mx/MLM-2424523417-soporte-con-ventosa-compatible-con-gopro-hero-13-12-11-10-9-_JM"/>
    <hyperlink ref="B97" r:id="rId95" location="polycard_client=search-nordic&amp;search_layout=grid&amp;position=6&amp;type=product&amp;tracking_id=23dbb5f2-f763-42c6-a5f8-e7d2b9cf6540&amp;wid=MLM2537017887&amp;sid=search" display="Acero Inox Taza De Calefacción Eléctrica En El Coche Plateado | Envío gratis"/>
    <hyperlink ref="B116" r:id="rId44" location="polycard_client=search_best-seller-categories&amp;tracking_id=81168e2f-4d71-4870-98ff-f96a0c75a097&amp;wid=MLM3495594084&amp;sid=search" display="50plato Base,plato Base Dorado,para Vento,decoración De Mesa Dorado Oscuro Lisa | Envío gratis"/>
    <hyperlink ref="B117" r:id="rId45" display="https://articulo.mercadolibre.com.mx/MLM-4244427330-porta-suero-con-base-de-acero-inoxidable-4-ganchos-ajustable-_JM#polycard_client=search_best-seller&amp;tracking_id=9d1b34c6-9202-4e3e-bc85-8f191599ab49" tooltip="https://articulo.mercadolibre.com.mx/MLM-4244427330-porta-suero-con-base-de-acero-inoxidable-4-ganchos-ajustable-_JM#polycard_client=search_best-seller&amp;tracking_id=9d1b34c6-9202-4e3e-bc85-8f191599ab49"/>
    <hyperlink ref="B118" r:id="rId46" display="https://www.mercadolibre.com.mx/porta-suero-tripie-base-de-metalica-4-ganchos-ajustable/up/MLMU3439512412#polycard_client=search_best-seller&amp;tracking_id=9d1b34c6-9202-4e3e-bc85-8f191599ab49&amp;wid=MLM4111535692&amp;sid=search" tooltip="https://www.mercadolibre.com.mx/porta-suero-tripie-base-de-metalica-4-ganchos-ajustable/up/MLMU3439512412#polycard_client=search_best-seller&amp;tracking_id=9d1b34c6-9202-4e3e-bc85-8f191599ab49&amp;wid=MLM4111535692&amp;sid=search"/>
    <hyperlink ref="B119" r:id="rId47" location="polycard_client=search-nordic&amp;searchVariation=180049397326&amp;search_layout=grid&amp;position=30&amp;type=item&amp;tracking_id=0b990dda-161d-4eac-a033-01ae365f2725" display="Toldo Techo Para Puerta Ventana De Policarbonato 120 X 80cm | Envío gratis (mercadolibre.com.mx)"/>
    <hyperlink ref="B120" r:id="rId48" location="polycard_client=search_best-seller&amp;tracking_id=82be3e71-9b1f-4b2a-ab6b-c789ed795fe0" display="360 ° Gira El Grifo Del Fregadero De La Tercera Marcha 2pcs | Meses sin interés (mercadolibre.com.mx)"/>
    <hyperlink ref="B121" r:id="rId49" location="polycard_client=search-nordic&amp;search_layout=grid&amp;position=18&amp;type=item&amp;tracking_id=77d19977-e8b2-4eb8-ba91-3b6d04304c40" display="用于切割1/2和3/4 PVC管螺纹的工具 |免息月份 (mercadolibre.com.mx)"/>
    <hyperlink ref="B122" r:id="rId50" display="Cepillo Para Limpiar Manguera De Acuario 155 Cm Azul | MercadoLibre" tooltip="https://articulo.mercadolibre.com.mx/MLM-2331302585-cepillo-para-limpiar-manguera-de-acuario-155-cm-azul-_JM"/>
    <hyperlink ref="B123" r:id="rId51" location="polycard_client=search-nordic&amp;search_layout=grid&amp;position=4&amp;type=product&amp;tracking_id=a923adcf-5395-4e03-b558-2fd81477decf&amp;wid=MLM2012191783&amp;sid=search" display="Válvula Reguladora Para Compresores 25/50l 19327 | Envío gratis (mercadolibre.com.mx)"/>
    <hyperlink ref="B124" r:id="rId52" location="polycard_client=search_best-seller&amp;tracking_id=d9b43e1f-804b-4203-9786-f005a7bfcba5&amp;wid=MLM3597591150&amp;sid=search" display="4 Unidades Goma Pointer Base Gol Saveiro Jetta A4 A3 | Envío gratis (mercadolibre.com.mx)"/>
    <hyperlink ref="B125" r:id="rId53" location="polycard_client=search-nordic&amp;search_layout=grid&amp;position=1&amp;type=item&amp;tracking_id=d6c448b1-1c73-42dc-ab35-6dbc40958146&amp;wid=MLM2202811829&amp;sid=search" display="Cuenta Golpes 5 Digitos Alta Calidad Cuenta Pacas | Meses sin interés (mercadolibre.com.mx)"/>
    <hyperlink ref="B126" r:id="rId54" location="polycard_client=mshops-appearance-api&amp;component=collection_grid&amp;source=eshops&amp;title=Productos+recomendados&amp;tracking_id=df4d386a-6919-4805-a763-65e75d55b462&amp;global_position=7" display="Letras Y Numeros De Golpe 3 Mm Con Estuche 36 Pzs / Set | MercadoLibre"/>
    <hyperlink ref="B127" r:id="rId55" location="polycard_client=search-nordic&amp;search_layout=grid&amp;position=6&amp;type=product&amp;tracking_id=601e4fc8-f096-4ce8-bc07-d7eb0e5f9406&amp;wid=MLM2237634007&amp;sid=search" display="Grapa Soporte Para Parrilla De Enfriadores De Botella 10 Pz | Envío gratis (mercadolibre.com.mx)"/>
    <hyperlink ref="B128" r:id="rId56" display="Boquilla Doble Fumigadora Aspersora Riego Jardín Agrícola | Envío gratis (mercadolibre.com.mx)" tooltip="https://articulo.mercadolibre.com.mx/MLM-3524980456-boquilla-doble-fumigadora-aspersora-riego-jardin-agricola-_JM"/>
    <hyperlink ref="B129" r:id="rId57" location="polycard_client=search_best-seller&amp;tracking_id=f8ed6c6a-0cca-4b04-a776-c211b7bf8ef1&amp;wid=MLM2220911355&amp;sid=search" display="Cuchillas De Cepillo Hss De 82 Mm Para Makita Y Otras Marcas | Meses sin interés (mercadolibre.com.mx)"/>
    <hyperlink ref="B102" r:id="rId58" display="https://www.mercadolibre.com.mx/mesa-pasteur-con-cajon-uso-rudo-envio-gratis-facturada/p/MLM2039970772?pdp_filters=item_id:MLM2294543411" tooltip="https://www.mercadolibre.com.mx/mesa-pasteur-con-cajon-uso-rudo-envio-gratis-facturada/p/MLM2039970772?pdp_filters=item_id:MLM2294543411"/>
    <hyperlink ref="B103" r:id="rId59" display="Mesa Pasteur 100% Acero Inoxidable 60x40x90 Cm | Envío gratis" tooltip="https://www.mercadolibre.com.mx/mesa-pasteur-100-acero-inoxidable-60x40x90-cm/p/MLM46857981?pdp_filters=item_id:MLM3587999114"/>
    <hyperlink ref="B99" r:id="rId60" display="Mesa Pasteur Totalmente De Acero Inoxidable | Meses sin interés" tooltip="https://www.mercadolibre.com.mx/mesa-pasteur-totalmente-de-acero-inoxidable/p/MLM2038743361?pdp_filters=item_id:MLM682599918"/>
    <hyperlink ref="B100" r:id="rId61" display="Mesa Pasteur Para Dialisis Con Portasueros Envío Gratis | Envío gratis" tooltip="https://articulo.mercadolibre.com.mx/MLM-1908345425-mesa-pasteur-para-dialisis-con-portasueros-envio-gratis-_JM"/>
    <hyperlink ref="B101" r:id="rId62" display="Carrito De Médico De Acero Inoxidable, Mesa Para Instrumental Médico, Con 2 Cajones + 2 Bandejas De Acero Inoxidable Adicionales | Envío gratis" tooltip="https://www.mercadolibre.com.mx/carrito-de-medico-de-acero-inoxidable-mesa-para-instrumental-medico-con-2-cajones-2-bandejas-de-acero-inoxidable-adicionales/p/MLM53478824?pdp_filters=item_id:MLM2495739491"/>
    <hyperlink ref="B98" r:id="rId63" display="Mesa Pasteur Cromada Uso Rudo Envío Gratis Y Factura | Envío gratis" tooltip="https://articulo.mercadolibre.com.mx/MLM-1814830918-mesa-pasteur-cromada-uso-rudo-envio-gratis-y-factura-_JM"/>
    <hyperlink ref="B104" r:id="rId64" display="https://articulo.mercadolibre.com.mx/MLM-3412424772-mesa-pasteur-grado-hospitalario-salon-de-belleza-spa-_JM#polycard_client=search-nordic&amp;search_layout=grid&amp;position=1&amp;type=item&amp;tracking_id=d92c673d-14e6-44cd-92d9-ac0be745bd4a&amp;wid=MLM3412424772&amp;sid=search" tooltip="https://articulo.mercadolibre.com.mx/MLM-3412424772-mesa-pasteur-grado-hospitalario-salon-de-belleza-spa-_JM#polycard_client=search-nordic&amp;search_layout=grid&amp;position=1&amp;type=item&amp;tracking_id=d92c673d-14e6-44cd-92d9-ac0be745bd4a&amp;wid=MLM3412424772&amp;sid=searc"/>
    <hyperlink ref="B105" r:id="rId65" display="Tm-mesa Mayo Con Charola Acero Inoxidable Ajustable Uso Rudo | Envío gratis" tooltip="https://articulo.mercadolibre.com.mx/MLM-3657401840-tm-mesa-mayo-con-charola-acero-inoxidable-ajustable-uso-rudo-_JM"/>
    <hyperlink ref="B106" r:id="rId66" display="Charola Mesa Isla Doble Acero Inoxidable 110x50x85 Cm Color Gris Mindejal | Meses sin interés" tooltip="https://www.mercadolibre.com.mx/charola-mesa-isla-doble-acero-inoxidable-110x50x85-cm-color-gris-mindejal/p/MLM49021593?pdp_filters=item_id:MLM2304429953"/>
    <hyperlink ref="B107" r:id="rId67" display="Repisa C/soporte Acero Inoxidable Marca Mindejal 1.00 Mts | Meses sin interés" tooltip="https://www.mercadolibre.com.mx/repisa-csoporte-acero-inoxidable-marca-mindejal-100-mts/up/MLMU558318943"/>
    <hyperlink ref="B108" r:id="rId68" display="Mesa A Pared 100% Acero Inoxidable 120x60x90 Marca Ferrinox | Meses sin interés" tooltip="https://www.mercadolibre.com.mx/mesa-a-pared-100-acero-inoxidable-120x60x90-marca-ferrinox/p/MLM52259435?pdp_filters=item_id:MLM2369141413"/>
    <hyperlink ref="B109" r:id="rId69" display="Mesa Con Repisa 100% Acero Inoxidable Marca Ferrinox | Meses sin interés" tooltip="https://www.mercadolibre.com.mx/mesa-con-repisa-100-acero-inoxidable-marca-ferrinox/p/MLM52241630?pdp_filters=item_id:MLM3825116996"/>
    <hyperlink ref="B110" r:id="rId70" display="Mesa En Isla Cubierta Acero Inox 90x70x90 Marca Ferrinox | Meses sin interés" tooltip="https://www.mercadolibre.com.mx/mesa-en-isla-cubierta-acero-inox-90x70x90-marca-ferrinox/p/MLM52273390?pdp_filters=item_id:MLM3825455312"/>
    <hyperlink ref="B111" r:id="rId71" display="Mesa Apoyo 100 % Acero Inoxidable 50×50×50 Marca Ferrinox | Meses sin interés" tooltip="https://www.mercadolibre.com.mx/mesa-apoyo-100-acero-inoxidable-505050-marca-ferrinox/p/MLM53382165?pdp_filters=item_id:MLM3883522934"/>
    <hyperlink ref="B112" r:id="rId72" display="Mesa Isla Doble 100% Acero Inox 60x60x90 Marca Ferrinox | Meses sin interés" tooltip="https://www.mercadolibre.com.mx/mesa-isla-doble-100-acero-inox-60x60x90-marca-ferrinox/p/MLM52218143?pdp_filters=item_id:MLM3824894048"/>
    <hyperlink ref="B113" r:id="rId73" display="Mesa Móvil Laboratorio Escuelas Ruedas Giratorias 3 Enchufes | Meses sin interés" tooltip="https://articulo.mercadolibre.com.mx/MLM-3491805792-mesa-movil-laboratorio-escuelas-ruedas-giratorias-3-enchufes-_JM"/>
    <hyperlink ref="B114" r:id="rId74" display="Maniquí Para Capacitación De Rcp | Meses sin interés" tooltip="https://www.mercadolibre.com.mx/maniqui-para-capacitacion-de-rcp/p/MLM48355193?pdp_filters=item_id:MLM3638544806"/>
    <hyperlink ref="B115" r:id="rId75" display="Repisa Con Garabato 100 Cm Color Gris | Meses sin interés" tooltip="https://www.mercadolibre.com.mx/repisa-con-garabato-100-cm-color-gris/p/MLM46822649?pdp_filters=item_id:MLM3586764692"/>
    <hyperlink ref="B130" r:id="rId81" location="polycard_client=search-nordic&amp;search_layout=grid&amp;position=20&amp;type=product&amp;tracking_id=0cf632f1-e42f-412a-975f-e166ef265c67&amp;wid=MLM3780702938&amp;sid=search" display="Ak47 Riel Picatinny Dust Cover Tapadera Superior Riel Alumin | Envío gratis (mercadolibre.com.mx)"/>
    <hyperlink ref="B131" r:id="rId82" location="polycard_client=recommendations_vip-pads-up&amp;reco_backend=recomm_platform_base_pads_rfa_marketplace&amp;reco_model=rk_ent_v2_retsys_ads&amp;reco_client=vip-pads-up&amp;reco_item_pos=2&amp;reco_backend_type=low_level&amp;reco_id=a0b11466-c135-467e-a19b-6ff14ecb40d0&amp;wid=MLM2309182909&amp;sid=recos&amp;is_advertising=true&amp;ad_domain=VIPDESKTOP_UP&amp;ad_position=3&amp;ad_click_id=NWI0M2M1YWEtM2FhOS00ODQ0LTk4MTEtMzg0OWRhODExYmYw" display="Guardamanos Enfriador Tactico Ar -15 / M4 Gotcha Airsoft | Meses sin interés"/>
    <hyperlink ref="B132" r:id="rId83" location="polycard_client=recommendations_vip-pads-up&amp;reco_backend=recomm_platform_base_pads_rfa_marketplace&amp;reco_model=rk_ent_v2_retsys_ads&amp;reco_client=vip-pads-up&amp;reco_item_pos=0&amp;reco_backend_type=low_level&amp;reco_id=9a31054a-581b-4208-ace1-a2db0c170647&amp;wid=MLM2211606227&amp;sid=recos&amp;is_advertising=true&amp;ad_domain=VIPDESKTOP_UP&amp;ad_position=1&amp;ad_click_id=M2JkNGMzYzctNGQ4ZC00YjczLWJiMTUtYjE4YTQyYjc4ZDE1" display="Pack Carry Handle Asa Transporte Militar Ar15 M4 M16 Ak47 | Envío gratis"/>
    <hyperlink ref="B134" r:id="rId84" location="polycard_client=search_best-seller&amp;tracking_id=1fc6f565-8662-48ac-a99a-dc3cd2c917ab&amp;wid=MLM2049942697&amp;sid=search" display="2 Monturas 11mm Tactica Alta Anilletas Riel Picatinny Rifles | Envío gratis"/>
    <hyperlink ref="B135" r:id="rId85" location="polycard_client=search_best-seller&amp;tracking_id=1fc6f565-8662-48ac-a99a-dc3cd2c917ab&amp;wid=MLM3162774094&amp;sid=search" display="Montura Scope Monopieza Tactica Mira Telescopica Rifle Caza | Envío gratis"/>
    <hyperlink ref="B136" r:id="rId86" location="polycard_client=search_best-seller&amp;tracking_id=1fc6f565-8662-48ac-a99a-dc3cd2c917ab&amp;wid=MLM2342714282&amp;sid=search" display="Mira Holografica Co2 Punto Rojo Ar Riel 20mm Gotcha Red Dot | Meses sin interés"/>
    <hyperlink ref="B137" r:id="rId87" location="polycard_client=search_best-seller&amp;tracking_id=d81eae0e-1349-4419-a831-106f6b4e48f3" display="100pz Grapas Industriales Para Lambrin Interior Decorativo | Envío gratis"/>
    <hyperlink ref="B138" r:id="rId88" location="polycard_client=search-nordic&amp;search_layout=grid&amp;position=3&amp;type=item&amp;tracking_id=530ef97b-3002-429c-956f-6a31c75883e9&amp;wid=MLM3691795010&amp;sid=search" display="Goniómetro 1/2 Para Torque Angular Y Cabezal Cuadrado | Envío gratis (mercadolibre.com.mx)"/>
    <hyperlink ref="B139" r:id="rId89" display="https://www.mercadolibre.com.mx/1-pieza-multifuncional-6-en-1-llave-para-ajustar-rayos-moto/up/MLMU3077502231#polycard_client=search-nordic&amp;search_layout=grid&amp;position=2&amp;type=product&amp;tracking_id=c0575694-0252-4634-80a6-7741b0323090&amp;wid=MLM2263346891&amp;sid=search" tooltip="https://www.mercadolibre.com.mx/1-pieza-multifuncional-6-en-1-llave-para-ajustar-rayos-moto/up/MLMU3077502231#polycard_client=search-nordic&amp;search_layout=grid&amp;position=2&amp;type=product&amp;tracking_id=c0575694-0252-4634-80a6-7741b0323090&amp;wid=MLM2263346891&amp;sid=s"/>
    <hyperlink ref="B140" r:id="rId90" location="polycard_client=search-desktop&amp;search_layout=grid&amp;position=3&amp;type=item&amp;tracking_id=92a41d7d-f6a4-4cb3-9952-db31512d1267&amp;wid=MLM1989406637&amp;sid=search" display="Electroválvula Válvula Agua 1/4 Solenoide 24 V Arduino Pic | Envío gratis (mercadolibre.com.mx)"/>
    <hyperlink ref="B141" r:id="rId91" display="Cargador De Batería Para Dewalt Litio Dcb112 12v 14.4v 18v | Envío gratis (mercadolibre.com.mx)" tooltip="https://articulo.mercadolibre.com.mx/MLM-2597939244-cargador-de-bateria-para-dewalt-litio-dcb112-12v-144v-18v-_JM"/>
    <hyperlink ref="B133" r:id="rId92" display="Riel Base Universal Cal 22 Ruger Adaptar Riel 11 Mm Y Weaver | Meses sin interés" tooltip="https://articulo.mercadolibre.com.mx/MLM-1925211339-riel-base-universal-cal-22-ruger-adaptar-riel-11-mm-y-weaver-_JM"/>
    <hyperlink ref="B142" r:id="rId93" location="polycard_client=search-nordic&amp;search_layout=grid&amp;position=6&amp;type=product&amp;tracking_id=e6b74fe0-7dac-4261-821a-3698039ae8b9&amp;wid=MLM2487430027&amp;sid=search" display="Balanza Cuchara Digital Medidora Precisión 0.1 A 500g | Envío gratis"/>
    <hyperlink ref="B143" r:id="rId94" display="Soporte Con Ventosa Compatible Con Gopro Hero 13 12 11 10 9 | MercadoLibre" tooltip="https://articulo.mercadolibre.com.mx/MLM-2424523417-soporte-con-ventosa-compatible-con-gopro-hero-13-12-11-10-9-_JM"/>
    <hyperlink ref="B144" r:id="rId95" location="polycard_client=search-nordic&amp;search_layout=grid&amp;position=6&amp;type=product&amp;tracking_id=23dbb5f2-f763-42c6-a5f8-e7d2b9cf6540&amp;wid=MLM2537017887&amp;sid=search" display="Acero Inox Taza De Calefacción Eléctrica En El Coche Plateado | Envío gratis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C89"/>
  <sheetViews>
    <sheetView topLeftCell="H1" workbookViewId="0">
      <pane xSplit="11" ySplit="2" topLeftCell="ED3" activePane="bottomRight" state="frozen"/>
      <selection/>
      <selection pane="topRight"/>
      <selection pane="bottomLeft"/>
      <selection pane="bottomRight" activeCell="ED2" sqref="ED2"/>
    </sheetView>
  </sheetViews>
  <sheetFormatPr defaultColWidth="11.3333333333333" defaultRowHeight="48.2" customHeight="1"/>
  <cols>
    <col min="1" max="1" width="7.88888888888889" style="49" hidden="1" customWidth="1"/>
    <col min="2" max="2" width="9.66666666666667" style="49" hidden="1" customWidth="1"/>
    <col min="3" max="3" width="10.6666666666667" style="49" hidden="1" customWidth="1"/>
    <col min="4" max="4" width="9.88888888888889" style="49" hidden="1" customWidth="1"/>
    <col min="5" max="5" width="16.5111111111111" style="49" hidden="1" customWidth="1"/>
    <col min="6" max="6" width="5.66666666666667" style="49" hidden="1" customWidth="1"/>
    <col min="7" max="7" width="10.3333333333333" style="49" hidden="1" customWidth="1"/>
    <col min="8" max="8" width="18.8888888888889" style="50" customWidth="1"/>
    <col min="9" max="9" width="8.33333333333333" style="49" hidden="1" customWidth="1"/>
    <col min="10" max="10" width="26.5259259259259" style="51" customWidth="1"/>
    <col min="11" max="11" width="20.1407407407407" style="49" customWidth="1"/>
    <col min="12" max="12" width="16.3925925925926" style="49" customWidth="1"/>
    <col min="13" max="13" width="9.58518518518519" style="49" customWidth="1"/>
    <col min="14" max="14" width="10.6962962962963" style="49" customWidth="1"/>
    <col min="15" max="15" width="12.6666666666667" style="49" customWidth="1"/>
    <col min="16" max="16" width="6.47407407407407" style="49" customWidth="1"/>
    <col min="17" max="22" width="7.59259259259259" style="49" customWidth="1"/>
    <col min="23" max="23" width="8.14814814814815" style="49" customWidth="1"/>
    <col min="24" max="24" width="7.59259259259259" style="49" customWidth="1"/>
    <col min="25" max="26" width="6.47407407407407" style="49" hidden="1" customWidth="1"/>
    <col min="27" max="27" width="8.88888888888889" style="49" hidden="1" customWidth="1"/>
    <col min="28" max="31" width="6.47407407407407" style="49" hidden="1" customWidth="1"/>
    <col min="32" max="36" width="6.47407407407407" style="49" customWidth="1"/>
    <col min="37" max="39" width="6.47407407407407" style="49" hidden="1" customWidth="1"/>
    <col min="40" max="40" width="8" style="49" hidden="1" customWidth="1"/>
    <col min="41" max="41" width="11.3333333333333" style="49" hidden="1" customWidth="1"/>
    <col min="42" max="43" width="10.7777777777778" style="49" hidden="1" customWidth="1"/>
    <col min="44" max="44" width="11.1111111111111" style="49" hidden="1" customWidth="1"/>
    <col min="45" max="45" width="10.2222222222222" style="49" hidden="1" customWidth="1"/>
    <col min="46" max="57" width="10.5555555555556" style="49" hidden="1" customWidth="1"/>
    <col min="58" max="58" width="10.2222222222222" style="49" hidden="1" customWidth="1"/>
    <col min="59" max="59" width="10.5555555555556" style="49" hidden="1" customWidth="1"/>
    <col min="60" max="60" width="11.3333333333333" style="49" hidden="1" customWidth="1"/>
    <col min="61" max="63" width="6.37777777777778" style="49" hidden="1" customWidth="1"/>
    <col min="64" max="64" width="6.37777777777778" style="52" hidden="1" customWidth="1"/>
    <col min="65" max="65" width="6.37777777777778" style="49" hidden="1" customWidth="1"/>
    <col min="66" max="66" width="9.25925925925926" style="49" hidden="1" customWidth="1"/>
    <col min="67" max="70" width="9.44444444444444" style="49" hidden="1" customWidth="1"/>
    <col min="71" max="71" width="10" style="49" customWidth="1"/>
    <col min="72" max="72" width="13.8888888888889" style="49" customWidth="1"/>
    <col min="73" max="76" width="13.8888888888889" style="49" hidden="1" customWidth="1"/>
    <col min="77" max="77" width="10.7777777777778" style="49" hidden="1" customWidth="1"/>
    <col min="78" max="78" width="7.66666666666667" style="49" hidden="1" customWidth="1"/>
    <col min="79" max="79" width="9.20740740740741" style="49" hidden="1" customWidth="1"/>
    <col min="80" max="80" width="11.7481481481481" style="49" hidden="1" customWidth="1"/>
    <col min="81" max="82" width="9.20740740740741" style="49" hidden="1" customWidth="1"/>
    <col min="83" max="83" width="12.2222222222222" style="49" hidden="1" customWidth="1"/>
    <col min="84" max="87" width="9.20740740740741" style="49" hidden="1" customWidth="1"/>
    <col min="88" max="88" width="9.20740740740741" style="53" hidden="1" customWidth="1"/>
    <col min="89" max="93" width="9.20740740740741" style="49" hidden="1" customWidth="1"/>
    <col min="94" max="94" width="17.9111111111111" style="49" hidden="1" customWidth="1"/>
    <col min="95" max="96" width="9.20740740740741" style="49" hidden="1" customWidth="1"/>
    <col min="97" max="97" width="14.4444444444444" style="49" hidden="1" customWidth="1"/>
    <col min="98" max="100" width="11.3333333333333" style="49" hidden="1" customWidth="1"/>
    <col min="101" max="119" width="11.3333333333333" style="49"/>
    <col min="120" max="127" width="11.3333333333333" style="49" customWidth="1"/>
    <col min="128" max="131" width="11.3333333333333" style="49"/>
    <col min="132" max="132" width="12.3333333333333" style="49"/>
    <col min="133" max="133" width="18.1111111111111" style="49"/>
    <col min="134" max="134" width="12" style="49"/>
    <col min="135" max="145" width="11.3333333333333" style="49"/>
    <col min="146" max="146" width="12.3333333333333" style="49"/>
    <col min="147" max="147" width="15.2222222222222" style="49"/>
    <col min="148" max="148" width="16.6666666666667" style="49"/>
    <col min="149" max="149" width="11.3333333333333" style="49"/>
    <col min="150" max="150" width="13.7777777777778" style="49"/>
    <col min="151" max="16384" width="11.3333333333333" style="49"/>
  </cols>
  <sheetData>
    <row r="1" s="48" customFormat="1" ht="32.15" customHeight="1" spans="1:159">
      <c r="A1" s="54" t="s">
        <v>0</v>
      </c>
      <c r="B1" s="54"/>
      <c r="C1" s="55"/>
      <c r="D1" s="55"/>
      <c r="E1" s="55"/>
      <c r="F1" s="56" t="s">
        <v>1</v>
      </c>
      <c r="G1" s="57"/>
      <c r="H1" s="58"/>
      <c r="I1" s="58"/>
      <c r="J1" s="58"/>
      <c r="K1" s="58"/>
      <c r="L1" s="59"/>
      <c r="M1" s="56"/>
      <c r="N1" s="56"/>
      <c r="O1" s="60">
        <v>46021</v>
      </c>
      <c r="P1" s="61"/>
      <c r="Q1" s="62"/>
      <c r="R1" s="62"/>
      <c r="S1" s="55"/>
      <c r="T1" s="60">
        <v>45921</v>
      </c>
      <c r="U1" s="54"/>
      <c r="V1" s="55"/>
      <c r="W1" s="55"/>
      <c r="X1" s="55"/>
      <c r="AF1" s="63" t="s">
        <v>2</v>
      </c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3"/>
      <c r="BD1" s="63"/>
      <c r="BE1" s="63"/>
      <c r="BF1" s="63"/>
      <c r="BG1" s="63"/>
      <c r="BH1" s="63"/>
      <c r="BI1" s="63"/>
      <c r="BJ1" s="64"/>
      <c r="BK1" s="64"/>
      <c r="BL1" s="64"/>
      <c r="BM1" s="64"/>
      <c r="BN1" s="64"/>
      <c r="BO1" s="64"/>
      <c r="BP1" s="64"/>
      <c r="BQ1" s="65"/>
      <c r="BR1" s="64"/>
      <c r="BS1" s="61"/>
      <c r="BT1" s="66" t="s">
        <v>3</v>
      </c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7"/>
      <c r="CL1" s="67"/>
      <c r="CM1" s="67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7"/>
      <c r="CY1" s="68"/>
      <c r="CZ1" s="60">
        <v>46021</v>
      </c>
      <c r="DA1" s="60">
        <v>46020</v>
      </c>
      <c r="DB1" s="60">
        <v>46021</v>
      </c>
      <c r="DC1" s="62"/>
      <c r="DD1" s="62"/>
      <c r="DE1" s="62"/>
      <c r="DF1" s="62"/>
      <c r="DG1" s="66" t="s">
        <v>4</v>
      </c>
      <c r="DH1" s="66"/>
      <c r="DI1" s="66"/>
      <c r="DJ1" s="69"/>
      <c r="DK1" s="69"/>
      <c r="DL1" s="66"/>
      <c r="DM1" s="64"/>
      <c r="DN1" s="66"/>
      <c r="DO1" s="70" t="s">
        <v>5</v>
      </c>
      <c r="DP1" s="71"/>
      <c r="DQ1" s="70"/>
      <c r="DR1" s="70"/>
      <c r="DS1" s="70"/>
      <c r="DT1" s="71"/>
      <c r="DU1" s="70"/>
      <c r="DV1" s="70"/>
      <c r="DW1" s="70"/>
      <c r="DX1" s="66" t="s">
        <v>6</v>
      </c>
      <c r="DY1" s="66"/>
      <c r="DZ1" s="66"/>
      <c r="EA1" s="66"/>
      <c r="EB1" s="66">
        <v>2.61</v>
      </c>
      <c r="EC1" s="72" t="s">
        <v>7</v>
      </c>
      <c r="ED1" s="73"/>
      <c r="EE1" s="74" t="s">
        <v>8</v>
      </c>
      <c r="EF1" s="74"/>
      <c r="EG1" s="74"/>
      <c r="EH1" s="74"/>
      <c r="EI1" s="74"/>
      <c r="EJ1" s="74"/>
      <c r="EK1" s="74"/>
      <c r="EL1" s="75" t="s">
        <v>9</v>
      </c>
      <c r="EM1" s="75"/>
      <c r="EN1" s="75"/>
      <c r="EO1" s="75"/>
      <c r="EP1" s="75"/>
      <c r="EQ1" s="75"/>
      <c r="ER1" s="75"/>
      <c r="ES1" s="75"/>
      <c r="EV1" s="71" t="s">
        <v>10</v>
      </c>
      <c r="EW1" s="71"/>
      <c r="EX1" s="71"/>
      <c r="EZ1" s="61" t="s">
        <v>11</v>
      </c>
      <c r="FA1" s="61"/>
      <c r="FB1" s="61"/>
      <c r="FC1" s="61"/>
    </row>
    <row r="2" s="48" customFormat="1" ht="69" customHeight="1" spans="1:159">
      <c r="A2" s="54" t="s">
        <v>12</v>
      </c>
      <c r="B2" s="54" t="s">
        <v>13</v>
      </c>
      <c r="C2" s="55" t="s">
        <v>14</v>
      </c>
      <c r="D2" s="55" t="s">
        <v>15</v>
      </c>
      <c r="E2" s="55" t="s">
        <v>16</v>
      </c>
      <c r="F2" s="56" t="s">
        <v>17</v>
      </c>
      <c r="G2" s="57" t="s">
        <v>18</v>
      </c>
      <c r="H2" s="56" t="s">
        <v>590</v>
      </c>
      <c r="I2" s="57" t="s">
        <v>20</v>
      </c>
      <c r="J2" s="56" t="s">
        <v>19</v>
      </c>
      <c r="K2" s="56" t="s">
        <v>21</v>
      </c>
      <c r="L2" s="59" t="s">
        <v>22</v>
      </c>
      <c r="M2" s="56" t="s">
        <v>23</v>
      </c>
      <c r="N2" s="76" t="s">
        <v>24</v>
      </c>
      <c r="O2" s="70" t="s">
        <v>25</v>
      </c>
      <c r="P2" s="55" t="s">
        <v>26</v>
      </c>
      <c r="Q2" s="70" t="s">
        <v>27</v>
      </c>
      <c r="R2" s="55" t="s">
        <v>28</v>
      </c>
      <c r="S2" s="70" t="s">
        <v>29</v>
      </c>
      <c r="T2" s="70" t="s">
        <v>30</v>
      </c>
      <c r="U2" s="54" t="s">
        <v>31</v>
      </c>
      <c r="V2" s="55" t="s">
        <v>32</v>
      </c>
      <c r="W2" s="55" t="s">
        <v>33</v>
      </c>
      <c r="X2" s="55" t="s">
        <v>34</v>
      </c>
      <c r="AF2" s="77" t="s">
        <v>35</v>
      </c>
      <c r="AG2" s="78"/>
      <c r="AH2" s="78"/>
      <c r="AI2" s="78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9"/>
      <c r="BB2" s="79"/>
      <c r="BC2" s="79"/>
      <c r="BD2" s="79"/>
      <c r="BE2" s="79"/>
      <c r="BF2" s="79"/>
      <c r="BG2" s="79"/>
      <c r="BH2" s="79"/>
      <c r="BI2" s="79"/>
      <c r="BJ2" s="79"/>
      <c r="BK2" s="79"/>
      <c r="BL2" s="79"/>
      <c r="BM2" s="79"/>
      <c r="BN2" s="79"/>
      <c r="BO2" s="77"/>
      <c r="BP2" s="77"/>
      <c r="BQ2" s="77"/>
      <c r="BR2" s="77"/>
      <c r="BS2" s="55" t="s">
        <v>26</v>
      </c>
      <c r="BT2" s="80" t="s">
        <v>42</v>
      </c>
      <c r="BU2" s="81" t="s">
        <v>591</v>
      </c>
      <c r="BV2" s="81" t="s">
        <v>592</v>
      </c>
      <c r="BW2" s="81" t="s">
        <v>593</v>
      </c>
      <c r="BX2" s="81" t="s">
        <v>594</v>
      </c>
      <c r="BY2" s="81" t="s">
        <v>595</v>
      </c>
      <c r="BZ2" s="81" t="s">
        <v>596</v>
      </c>
      <c r="CA2" s="81" t="s">
        <v>597</v>
      </c>
      <c r="CB2" s="81" t="s">
        <v>598</v>
      </c>
      <c r="CC2" s="81" t="s">
        <v>599</v>
      </c>
      <c r="CD2" s="81" t="s">
        <v>600</v>
      </c>
      <c r="CE2" s="82"/>
      <c r="CF2" s="82"/>
      <c r="CG2" s="82"/>
      <c r="CH2" s="82"/>
      <c r="CI2" s="82"/>
      <c r="CJ2" s="83"/>
      <c r="CK2" s="83"/>
      <c r="CL2" s="83"/>
      <c r="CM2" s="83"/>
      <c r="CN2" s="83"/>
      <c r="CO2" s="83"/>
      <c r="CP2" s="83"/>
      <c r="CQ2" s="83"/>
      <c r="CR2" s="83"/>
      <c r="CS2" s="84"/>
      <c r="CT2" s="84"/>
      <c r="CU2" s="84"/>
      <c r="CV2" s="84"/>
      <c r="CW2" s="80" t="s">
        <v>43</v>
      </c>
      <c r="CX2" s="85" t="s">
        <v>44</v>
      </c>
      <c r="CY2" s="86" t="s">
        <v>45</v>
      </c>
      <c r="CZ2" s="87" t="s">
        <v>46</v>
      </c>
      <c r="DA2" s="87" t="s">
        <v>46</v>
      </c>
      <c r="DB2" s="87" t="s">
        <v>47</v>
      </c>
      <c r="DC2" s="55" t="s">
        <v>48</v>
      </c>
      <c r="DD2" s="55" t="s">
        <v>49</v>
      </c>
      <c r="DE2" s="55" t="s">
        <v>50</v>
      </c>
      <c r="DF2" s="55" t="s">
        <v>51</v>
      </c>
      <c r="DG2" s="66" t="s">
        <v>52</v>
      </c>
      <c r="DH2" s="66" t="s">
        <v>53</v>
      </c>
      <c r="DI2" s="66" t="s">
        <v>54</v>
      </c>
      <c r="DJ2" s="69" t="s">
        <v>55</v>
      </c>
      <c r="DK2" s="69" t="s">
        <v>601</v>
      </c>
      <c r="DL2" s="66" t="s">
        <v>60</v>
      </c>
      <c r="DM2" s="66" t="s">
        <v>61</v>
      </c>
      <c r="DN2" s="66" t="s">
        <v>62</v>
      </c>
      <c r="DO2" s="88" t="s">
        <v>28</v>
      </c>
      <c r="DP2" s="89"/>
      <c r="DQ2" s="89"/>
      <c r="DR2" s="89"/>
      <c r="DS2" s="89"/>
      <c r="DT2" s="89"/>
      <c r="DU2" s="89"/>
      <c r="DV2" s="90"/>
      <c r="DW2" s="91" t="s">
        <v>602</v>
      </c>
      <c r="DX2" s="91" t="s">
        <v>64</v>
      </c>
      <c r="DY2" s="92" t="s">
        <v>65</v>
      </c>
      <c r="DZ2" s="80" t="s">
        <v>66</v>
      </c>
      <c r="EA2" s="80" t="s">
        <v>67</v>
      </c>
      <c r="EB2" s="80" t="s">
        <v>68</v>
      </c>
      <c r="EC2" s="91" t="s">
        <v>69</v>
      </c>
      <c r="ED2" s="91" t="s">
        <v>70</v>
      </c>
      <c r="EE2" s="70" t="s">
        <v>71</v>
      </c>
      <c r="EF2" s="70" t="s">
        <v>72</v>
      </c>
      <c r="EG2" s="70" t="s">
        <v>73</v>
      </c>
      <c r="EH2" s="70" t="s">
        <v>74</v>
      </c>
      <c r="EI2" s="70" t="s">
        <v>75</v>
      </c>
      <c r="EJ2" s="93" t="s">
        <v>603</v>
      </c>
      <c r="EK2" s="94" t="s">
        <v>604</v>
      </c>
      <c r="EL2" s="80" t="s">
        <v>77</v>
      </c>
      <c r="EM2" s="80" t="s">
        <v>78</v>
      </c>
      <c r="EN2" s="80" t="s">
        <v>79</v>
      </c>
      <c r="EO2" s="80" t="s">
        <v>80</v>
      </c>
      <c r="EP2" s="80" t="s">
        <v>81</v>
      </c>
      <c r="EQ2" s="80" t="s">
        <v>82</v>
      </c>
      <c r="ER2" s="80" t="s">
        <v>83</v>
      </c>
      <c r="ES2" s="80"/>
      <c r="EV2" s="71" t="s">
        <v>85</v>
      </c>
      <c r="EW2" s="71" t="s">
        <v>86</v>
      </c>
      <c r="EX2" s="71"/>
      <c r="EZ2" s="95" t="s">
        <v>87</v>
      </c>
      <c r="FA2" s="95" t="s">
        <v>88</v>
      </c>
      <c r="FB2" s="95" t="s">
        <v>89</v>
      </c>
      <c r="FC2" s="95" t="s">
        <v>90</v>
      </c>
    </row>
    <row r="3" customHeight="1" spans="1:159">
      <c r="B3" s="96" t="s">
        <v>92</v>
      </c>
      <c r="C3" s="97">
        <v>46</v>
      </c>
      <c r="D3" s="98">
        <v>138</v>
      </c>
      <c r="E3" s="99">
        <v>45887</v>
      </c>
      <c r="G3" s="98" t="s">
        <v>93</v>
      </c>
      <c r="H3" s="100" t="s">
        <v>94</v>
      </c>
      <c r="I3" s="101">
        <v>162</v>
      </c>
      <c r="J3" s="100" t="s">
        <v>95</v>
      </c>
      <c r="K3" s="102" t="s">
        <v>96</v>
      </c>
      <c r="L3" s="98">
        <v>4238699688</v>
      </c>
      <c r="M3" s="102" t="s">
        <v>97</v>
      </c>
      <c r="N3" s="52">
        <f>_xlfn.XLOOKUP(L3,数据更新表!J:J,数据更新表!K:K)</f>
        <v>100</v>
      </c>
      <c r="O3" s="52">
        <f>IFERROR(_xlfn.XLOOKUP(K3,数据更新表!A:A,数据更新表!B:B),"0")</f>
        <v>16</v>
      </c>
      <c r="P3" s="52">
        <f>_xlfn.XLOOKUP(K3,[1]库销表!$F:$F,[1]库销表!$L:$L)</f>
        <v>0</v>
      </c>
      <c r="Q3" s="103">
        <f t="shared" ref="Q3:Q66" si="0">X3/W3</f>
        <v>5.59999999999999</v>
      </c>
      <c r="S3" s="49" t="e">
        <f>_xlfn.XLOOKUP(K3,数据更新表!R:R,数据更新表!S:S)</f>
        <v>#N/A</v>
      </c>
      <c r="T3" s="49" t="e">
        <f>_xlfn.XLOOKUP(K3,数据更新表!V:V,数据更新表!W:W)</f>
        <v>#N/A</v>
      </c>
      <c r="V3" s="104">
        <f t="shared" ref="V3:V66" si="1">IFERROR(7*O3/CZ3,"0")</f>
        <v>5.6</v>
      </c>
      <c r="W3" s="98">
        <f t="shared" ref="W3:W66" si="2">CZ3/7</f>
        <v>2.85714285714286</v>
      </c>
      <c r="X3" s="98">
        <f t="shared" ref="X3:X66" si="3">O3+P3+SUM(AR3:AT3)</f>
        <v>16</v>
      </c>
      <c r="AF3" s="49">
        <f t="shared" ref="AF3:AF66" si="4">SUM(AG3:BR3)</f>
        <v>0</v>
      </c>
      <c r="BK3" s="52"/>
      <c r="BR3" s="52"/>
      <c r="BS3" s="52">
        <f>_xlfn.XLOOKUP(K3,[1]库销表!$F:$F,[1]库销表!$L:$L)</f>
        <v>0</v>
      </c>
      <c r="BT3" s="52">
        <f t="shared" ref="BT3:BT66" si="5">SUM(BU3:CV3)</f>
        <v>0</v>
      </c>
      <c r="BU3" s="49" cm="1">
        <f t="array" ref="BU3:CD3">_xlfn.XLOOKUP(K3,[1]库销表!$F:$F,[1]库销表!$HT:$IC)</f>
        <v>0</v>
      </c>
      <c r="BV3" s="49">
        <v>0</v>
      </c>
      <c r="BW3" s="49">
        <v>0</v>
      </c>
      <c r="BX3" s="49">
        <v>0</v>
      </c>
      <c r="BY3" s="49">
        <v>0</v>
      </c>
      <c r="BZ3" s="49">
        <v>0</v>
      </c>
      <c r="CA3" s="49">
        <v>0</v>
      </c>
      <c r="CB3" s="49">
        <v>0</v>
      </c>
      <c r="CC3" s="49">
        <v>0</v>
      </c>
      <c r="CD3" s="49">
        <v>0</v>
      </c>
      <c r="CW3" s="52">
        <f>_xlfn.XLOOKUP(K3,[1]库销表!$F:$F,[1]库销表!$IE:$IE)</f>
        <v>0</v>
      </c>
      <c r="CX3" s="52">
        <f>_xlfn.XLOOKUP(K3,[1]库销表!$F:$F,[1]库销表!$IF:$IF)</f>
        <v>0</v>
      </c>
      <c r="CY3" s="105">
        <f>_xlfn.XLOOKUP(K3,[1]库销表!$F:$F,[1]库销表!$FL:$FL)</f>
        <v>0</v>
      </c>
      <c r="CZ3" s="52">
        <f>_xlfn.XLOOKUP(K3,数据更新表!E:E,数据更新表!F:F)</f>
        <v>20</v>
      </c>
      <c r="DA3" s="52" t="s">
        <v>605</v>
      </c>
      <c r="DB3" s="52">
        <f>_xlfn.XLOOKUP(K3,数据更新表!E:E,数据更新表!G:G)</f>
        <v>1</v>
      </c>
      <c r="DC3" s="106">
        <f>_xlfn.XLOOKUP(L3,数据更新表!Z:Z,数据更新表!AH:AH)</f>
        <v>8</v>
      </c>
      <c r="DD3" s="49">
        <f>_xlfn.XLOOKUP(L3,数据更新表!Z:Z,数据更新表!AE:AE)</f>
        <v>12</v>
      </c>
      <c r="DE3" s="49">
        <f>_xlfn.XLOOKUP(L3,数据更新表!Z:Z,数据更新表!AF:AF)</f>
        <v>12</v>
      </c>
      <c r="DF3" s="49" t="e">
        <f>_xlfn.XLOOKUP(K3,数据更新表!Z:Z,数据更新表!AG:AG)</f>
        <v>#N/A</v>
      </c>
      <c r="DG3" s="49">
        <f>_xlfn.XLOOKUP(L3,数据更新表!Z:Z,数据更新表!AD:AD)</f>
        <v>642.72</v>
      </c>
      <c r="DH3" s="49">
        <f>_xlfn.XLOOKUP(L3,数据更新表!Z:Z,数据更新表!AA:AA)</f>
        <v>9008</v>
      </c>
      <c r="DI3" s="49">
        <f>_xlfn.XLOOKUP(L3,数据更新表!Z:Z,数据更新表!AB:AB)</f>
        <v>119</v>
      </c>
      <c r="DJ3" s="49" t="str">
        <f>_xlfn.XLOOKUP(L3,数据更新表!Z:Z,数据更新表!AC:AC)</f>
        <v>3.20%</v>
      </c>
      <c r="DK3" s="49" t="str">
        <f>_xlfn.XLOOKUP(L3,数据更新表!Z:Z,数据更新表!AI:AI)</f>
        <v>1.93%</v>
      </c>
      <c r="DL3" s="107" t="s">
        <v>111</v>
      </c>
      <c r="DM3" s="102" t="s">
        <v>99</v>
      </c>
      <c r="DW3" s="49">
        <v>1549</v>
      </c>
      <c r="DX3" s="98">
        <v>1549</v>
      </c>
      <c r="DY3" s="98">
        <f>_xlfn.XLOOKUP(L3,数据更新表!J:J,数据更新表!M:M)</f>
        <v>1699</v>
      </c>
      <c r="DZ3" s="98">
        <v>105</v>
      </c>
      <c r="EA3" s="108">
        <f t="shared" ref="EA3:EA11" si="6">EC3/(EB3+EE3)</f>
        <v>0.540391061503986</v>
      </c>
      <c r="EB3" s="98">
        <f t="shared" ref="EB3:EB66" si="7">DZ3*$EB$1</f>
        <v>274.05</v>
      </c>
      <c r="EC3" s="109">
        <f t="shared" ref="EC3:EC66" si="8">DX3-EB3-EE3-EH3-EG3-EI3-EJ3</f>
        <v>307.42900992</v>
      </c>
      <c r="ED3" s="108">
        <f t="shared" ref="ED3:ED66" si="9">EC3/DX3</f>
        <v>0.198469341459006</v>
      </c>
      <c r="EE3" s="110">
        <f t="shared" ref="EE3:EE66" si="10">ER3*2400*$EB$1</f>
        <v>294.85099008</v>
      </c>
      <c r="EF3" s="104" t="str">
        <f t="shared" ref="EF3:EF66" si="11">IF(DX3&gt;299,"是","否")</f>
        <v>是</v>
      </c>
      <c r="EG3" s="98">
        <f t="shared" ref="EG3:EG66" si="12">DX3*0.05</f>
        <v>77.45</v>
      </c>
      <c r="EH3" s="109">
        <f t="shared" ref="EH3:EH29" si="13">DX3*0.175</f>
        <v>271.075</v>
      </c>
      <c r="EI3" s="101">
        <f>IF(DX3&lt;=298,IF(DX3&lt;99,25,IF(DX3&lt;=149,30,IF(DX3&lt;=299,37,85))),IF(DX3&lt;=498,_xlfn.XLOOKUP(EQ3,运费表!A:A,运费表!C:C,"重量超限",-1),_xlfn.XLOOKUP(EQ3,运费表!A:A,运费表!D:D,"重量超限",-1)))</f>
        <v>161.5</v>
      </c>
      <c r="EJ3" s="101">
        <f t="shared" ref="EJ3:EJ66" si="14">DX3*0.105</f>
        <v>162.645</v>
      </c>
      <c r="EK3" s="108">
        <v>0.197315645797083</v>
      </c>
      <c r="EL3" s="98">
        <v>6.9</v>
      </c>
      <c r="EM3" s="98">
        <v>81</v>
      </c>
      <c r="EN3" s="98">
        <v>45.4</v>
      </c>
      <c r="EO3" s="98">
        <v>12.8</v>
      </c>
      <c r="EP3" s="109">
        <f t="shared" ref="EP3:EP11" si="15">EM3*EN3*EO3/5000</f>
        <v>9.414144</v>
      </c>
      <c r="EQ3" s="98">
        <f t="shared" ref="EQ3:EQ11" si="16">IF(EP3&gt;=EL3,EP3,EL3)</f>
        <v>9.414144</v>
      </c>
      <c r="ER3" s="111">
        <f t="shared" ref="ER3:ER6" si="17">EM3*EN3*EO3/1000000</f>
        <v>0.04707072</v>
      </c>
      <c r="ES3" s="98">
        <v>100</v>
      </c>
      <c r="ET3" s="112">
        <f t="shared" ref="ET3:ET9" si="18">ER3*ES3</f>
        <v>4.707072</v>
      </c>
      <c r="EU3" s="103">
        <f t="shared" ref="EU3:EU11" si="19">ES3*DZ3</f>
        <v>10500</v>
      </c>
    </row>
    <row r="4" customHeight="1" spans="1:159">
      <c r="B4" s="96" t="s">
        <v>102</v>
      </c>
      <c r="C4" s="97">
        <v>27</v>
      </c>
      <c r="D4" s="98">
        <v>42</v>
      </c>
      <c r="E4" s="99">
        <v>45887</v>
      </c>
      <c r="G4" s="98" t="s">
        <v>93</v>
      </c>
      <c r="H4" s="100" t="s">
        <v>103</v>
      </c>
      <c r="I4" s="113">
        <v>190</v>
      </c>
      <c r="J4" s="100" t="s">
        <v>104</v>
      </c>
      <c r="K4" s="102" t="s">
        <v>105</v>
      </c>
      <c r="L4" s="104">
        <v>4238574572</v>
      </c>
      <c r="M4" s="102" t="s">
        <v>97</v>
      </c>
      <c r="N4" s="52">
        <f>_xlfn.XLOOKUP(L4,数据更新表!J:J,数据更新表!K:K)</f>
        <v>100</v>
      </c>
      <c r="O4" s="52">
        <f>IFERROR(_xlfn.XLOOKUP(K4,数据更新表!A:A,数据更新表!B:B),"0")</f>
        <v>8</v>
      </c>
      <c r="P4" s="52">
        <f>_xlfn.XLOOKUP(K4,[1]库销表!$F:$F,[1]库销表!$L:$L)</f>
        <v>0</v>
      </c>
      <c r="Q4" s="103">
        <f t="shared" si="0"/>
        <v>1.80645161290323</v>
      </c>
      <c r="S4" s="49" t="e">
        <f>_xlfn.XLOOKUP(K4,数据更新表!R:R,数据更新表!S:S)</f>
        <v>#N/A</v>
      </c>
      <c r="T4" s="49" t="e">
        <f>_xlfn.XLOOKUP(K4,数据更新表!V:V,数据更新表!W:W)</f>
        <v>#N/A</v>
      </c>
      <c r="V4" s="104">
        <f t="shared" si="1"/>
        <v>1.80645161290323</v>
      </c>
      <c r="W4" s="98">
        <f t="shared" si="2"/>
        <v>4.42857142857143</v>
      </c>
      <c r="X4" s="98">
        <f t="shared" si="3"/>
        <v>8</v>
      </c>
      <c r="AF4" s="49">
        <f t="shared" si="4"/>
        <v>0</v>
      </c>
      <c r="BK4" s="52"/>
      <c r="BR4" s="52"/>
      <c r="BS4" s="52">
        <f>_xlfn.XLOOKUP(K4,[1]库销表!$F:$F,[1]库销表!$L:$L)</f>
        <v>0</v>
      </c>
      <c r="BT4" s="52">
        <f t="shared" si="5"/>
        <v>0</v>
      </c>
      <c r="BU4" s="49" cm="1">
        <f t="array" ref="BU4:CD4">_xlfn.XLOOKUP(K4,[1]库销表!$F:$F,[1]库销表!$HT:$IC)</f>
        <v>0</v>
      </c>
      <c r="BV4" s="49">
        <v>0</v>
      </c>
      <c r="BW4" s="49">
        <v>0</v>
      </c>
      <c r="BX4" s="49">
        <v>0</v>
      </c>
      <c r="BY4" s="49">
        <v>0</v>
      </c>
      <c r="BZ4" s="49">
        <v>0</v>
      </c>
      <c r="CA4" s="49">
        <v>0</v>
      </c>
      <c r="CB4" s="49">
        <v>0</v>
      </c>
      <c r="CC4" s="49">
        <v>0</v>
      </c>
      <c r="CD4" s="49">
        <v>0</v>
      </c>
      <c r="CW4" s="52">
        <f>_xlfn.XLOOKUP(K4,[1]库销表!$F:$F,[1]库销表!$IE:$IE)</f>
        <v>0</v>
      </c>
      <c r="CX4" s="52">
        <f>_xlfn.XLOOKUP(K4,[1]库销表!$F:$F,[1]库销表!$IF:$IF)</f>
        <v>0</v>
      </c>
      <c r="CY4" s="105">
        <f>_xlfn.XLOOKUP(K4,[1]库销表!$F:$F,[1]库销表!$FL:$FL)</f>
        <v>0</v>
      </c>
      <c r="CZ4" s="52">
        <f>_xlfn.XLOOKUP(K4,数据更新表!E:E,数据更新表!F:F)</f>
        <v>31</v>
      </c>
      <c r="DA4" s="52" t="e">
        <v>#N/A</v>
      </c>
      <c r="DB4" s="52">
        <f>_xlfn.XLOOKUP(K4,数据更新表!E:E,数据更新表!G:G)</f>
        <v>3</v>
      </c>
      <c r="DC4" s="106">
        <f>_xlfn.XLOOKUP(L4,数据更新表!Z:Z,数据更新表!AH:AH)</f>
        <v>10</v>
      </c>
      <c r="DD4" s="49">
        <f>_xlfn.XLOOKUP(L4,数据更新表!Z:Z,数据更新表!AE:AE)</f>
        <v>21</v>
      </c>
      <c r="DE4" s="49">
        <f>_xlfn.XLOOKUP(L4,数据更新表!Z:Z,数据更新表!AF:AF)</f>
        <v>20</v>
      </c>
      <c r="DF4" s="49" t="e">
        <f>_xlfn.XLOOKUP(K4,数据更新表!Z:Z,数据更新表!AG:AG)</f>
        <v>#N/A</v>
      </c>
      <c r="DG4" s="49">
        <f>_xlfn.XLOOKUP(L4,数据更新表!Z:Z,数据更新表!AD:AD)</f>
        <v>702.95</v>
      </c>
      <c r="DH4" s="49">
        <f>_xlfn.XLOOKUP(L4,数据更新表!Z:Z,数据更新表!AA:AA)</f>
        <v>10833</v>
      </c>
      <c r="DI4" s="49">
        <f>_xlfn.XLOOKUP(L4,数据更新表!Z:Z,数据更新表!AB:AB)</f>
        <v>132</v>
      </c>
      <c r="DJ4" s="49" t="str">
        <f>_xlfn.XLOOKUP(L4,数据更新表!Z:Z,数据更新表!AC:AC)</f>
        <v>2.28%</v>
      </c>
      <c r="DK4" s="49" t="str">
        <f>_xlfn.XLOOKUP(L4,数据更新表!Z:Z,数据更新表!AI:AI)</f>
        <v>1.53%</v>
      </c>
      <c r="DL4" s="107" t="s">
        <v>111</v>
      </c>
      <c r="DM4" s="102" t="s">
        <v>99</v>
      </c>
      <c r="DW4" s="49">
        <v>1549</v>
      </c>
      <c r="DX4" s="98">
        <v>1549</v>
      </c>
      <c r="DY4" s="98">
        <f>_xlfn.XLOOKUP(L4,数据更新表!J:J,数据更新表!M:M)</f>
        <v>1599</v>
      </c>
      <c r="DZ4" s="98">
        <v>105</v>
      </c>
      <c r="EA4" s="108">
        <f t="shared" si="6"/>
        <v>0.353142426373239</v>
      </c>
      <c r="EB4" s="98">
        <f t="shared" si="7"/>
        <v>274.05</v>
      </c>
      <c r="EC4" s="109">
        <f t="shared" si="8"/>
        <v>228.704160384</v>
      </c>
      <c r="ED4" s="108">
        <f t="shared" si="9"/>
        <v>0.147646326910265</v>
      </c>
      <c r="EE4" s="110">
        <f t="shared" si="10"/>
        <v>373.575839616</v>
      </c>
      <c r="EF4" s="104" t="str">
        <f t="shared" si="11"/>
        <v>是</v>
      </c>
      <c r="EG4" s="98">
        <f t="shared" si="12"/>
        <v>77.45</v>
      </c>
      <c r="EH4" s="109">
        <f t="shared" si="13"/>
        <v>271.075</v>
      </c>
      <c r="EI4" s="101">
        <f>IF(DX4&lt;=298,IF(DX4&lt;99,25,IF(DX4&lt;=149,30,IF(DX4&lt;=299,37,85))),IF(DX4&lt;=498,_xlfn.XLOOKUP(EQ4,运费表!A:A,运费表!C:C,"重量超限",-1),_xlfn.XLOOKUP(EQ4,运费表!A:A,运费表!D:D,"重量超限",-1)))</f>
        <v>161.5</v>
      </c>
      <c r="EJ4" s="101">
        <f t="shared" si="14"/>
        <v>162.645</v>
      </c>
      <c r="EK4" s="108">
        <v>0.147809562495349</v>
      </c>
      <c r="EL4" s="98">
        <v>6.4</v>
      </c>
      <c r="EM4" s="98">
        <v>77.2</v>
      </c>
      <c r="EN4" s="98">
        <v>43.4</v>
      </c>
      <c r="EO4" s="98">
        <v>17.8</v>
      </c>
      <c r="EP4" s="109">
        <f t="shared" si="15"/>
        <v>11.9277088</v>
      </c>
      <c r="EQ4" s="98">
        <f t="shared" si="16"/>
        <v>11.9277088</v>
      </c>
      <c r="ER4" s="111">
        <f t="shared" si="17"/>
        <v>0.059638544</v>
      </c>
      <c r="ES4" s="98">
        <v>100</v>
      </c>
      <c r="ET4" s="112">
        <f t="shared" si="18"/>
        <v>5.9638544</v>
      </c>
      <c r="EU4" s="103">
        <f t="shared" si="19"/>
        <v>10500</v>
      </c>
    </row>
    <row r="5" customHeight="1" spans="1:159">
      <c r="B5" s="96" t="s">
        <v>107</v>
      </c>
      <c r="C5" s="97">
        <v>7</v>
      </c>
      <c r="D5" s="98">
        <v>37</v>
      </c>
      <c r="E5" s="99">
        <v>45889</v>
      </c>
      <c r="G5" s="98" t="s">
        <v>108</v>
      </c>
      <c r="H5" s="100" t="s">
        <v>108</v>
      </c>
      <c r="I5" s="101">
        <v>222</v>
      </c>
      <c r="J5" s="100" t="s">
        <v>109</v>
      </c>
      <c r="K5" s="102" t="s">
        <v>110</v>
      </c>
      <c r="L5" s="104">
        <v>2515489727</v>
      </c>
      <c r="M5" s="102" t="s">
        <v>97</v>
      </c>
      <c r="N5" s="52">
        <f>_xlfn.XLOOKUP(L5,数据更新表!J:J,数据更新表!K:K)</f>
        <v>100</v>
      </c>
      <c r="O5" s="52">
        <f>IFERROR(_xlfn.XLOOKUP(K5,数据更新表!A:A,数据更新表!B:B),"0")</f>
        <v>37</v>
      </c>
      <c r="P5" s="52">
        <f>_xlfn.XLOOKUP(K5,[1]库销表!$F:$F,[1]库销表!$L:$L)</f>
        <v>60</v>
      </c>
      <c r="Q5" s="103">
        <f t="shared" si="0"/>
        <v>339.5</v>
      </c>
      <c r="S5" s="49" t="e">
        <f>_xlfn.XLOOKUP(K5,数据更新表!R:R,数据更新表!S:S)</f>
        <v>#N/A</v>
      </c>
      <c r="T5" s="49" t="e">
        <f>_xlfn.XLOOKUP(K5,数据更新表!V:V,数据更新表!W:W)</f>
        <v>#N/A</v>
      </c>
      <c r="V5" s="104">
        <f t="shared" si="1"/>
        <v>129.5</v>
      </c>
      <c r="W5" s="98">
        <f t="shared" si="2"/>
        <v>0.285714285714286</v>
      </c>
      <c r="X5" s="98">
        <f t="shared" si="3"/>
        <v>97</v>
      </c>
      <c r="AF5" s="49">
        <f t="shared" si="4"/>
        <v>0</v>
      </c>
      <c r="BK5" s="52"/>
      <c r="BR5" s="52"/>
      <c r="BS5" s="52">
        <f>_xlfn.XLOOKUP(K5,[1]库销表!$F:$F,[1]库销表!$L:$L)</f>
        <v>60</v>
      </c>
      <c r="BT5" s="52">
        <f t="shared" si="5"/>
        <v>0</v>
      </c>
      <c r="BU5" s="49" cm="1">
        <f t="array" ref="BU5:CD5">_xlfn.XLOOKUP(K5,[1]库销表!$F:$F,[1]库销表!$HT:$IC)</f>
        <v>0</v>
      </c>
      <c r="BV5" s="49">
        <v>0</v>
      </c>
      <c r="BW5" s="49">
        <v>0</v>
      </c>
      <c r="BX5" s="49">
        <v>0</v>
      </c>
      <c r="BY5" s="49">
        <v>0</v>
      </c>
      <c r="BZ5" s="49">
        <v>0</v>
      </c>
      <c r="CA5" s="49">
        <v>0</v>
      </c>
      <c r="CB5" s="49">
        <v>0</v>
      </c>
      <c r="CC5" s="49">
        <v>0</v>
      </c>
      <c r="CD5" s="49">
        <v>0</v>
      </c>
      <c r="CW5" s="52">
        <f>_xlfn.XLOOKUP(K5,[1]库销表!$F:$F,[1]库销表!$IE:$IE)</f>
        <v>0</v>
      </c>
      <c r="CX5" s="52">
        <f>_xlfn.XLOOKUP(K5,[1]库销表!$F:$F,[1]库销表!$IF:$IF)</f>
        <v>0</v>
      </c>
      <c r="CY5" s="105">
        <f>_xlfn.XLOOKUP(K5,[1]库销表!$F:$F,[1]库销表!$FL:$FL)</f>
        <v>0</v>
      </c>
      <c r="CZ5" s="52">
        <f>_xlfn.XLOOKUP(K5,数据更新表!E:E,数据更新表!F:F)</f>
        <v>2</v>
      </c>
      <c r="DA5" s="52" t="e">
        <v>#N/A</v>
      </c>
      <c r="DB5" s="52">
        <f>_xlfn.XLOOKUP(K5,数据更新表!E:E,数据更新表!G:G)</f>
        <v>1</v>
      </c>
      <c r="DC5" s="106">
        <f>_xlfn.XLOOKUP(L5,数据更新表!Z:Z,数据更新表!AH:AH)</f>
        <v>2</v>
      </c>
      <c r="DD5" s="49">
        <f>_xlfn.XLOOKUP(L5,数据更新表!Z:Z,数据更新表!AE:AE)</f>
        <v>0</v>
      </c>
      <c r="DE5" s="49">
        <f>_xlfn.XLOOKUP(L5,数据更新表!Z:Z,数据更新表!AF:AF)</f>
        <v>0</v>
      </c>
      <c r="DF5" s="49" t="e">
        <f>_xlfn.XLOOKUP(K5,数据更新表!Z:Z,数据更新表!AG:AG)</f>
        <v>#N/A</v>
      </c>
      <c r="DG5" s="49">
        <f>_xlfn.XLOOKUP(L5,数据更新表!Z:Z,数据更新表!AD:AD)</f>
        <v>346.04</v>
      </c>
      <c r="DH5" s="49">
        <f>_xlfn.XLOOKUP(L5,数据更新表!Z:Z,数据更新表!AA:AA)</f>
        <v>5564</v>
      </c>
      <c r="DI5" s="49">
        <f>_xlfn.XLOOKUP(L5,数据更新表!Z:Z,数据更新表!AB:AB)</f>
        <v>41</v>
      </c>
      <c r="DJ5" s="49" t="str">
        <f>_xlfn.XLOOKUP(L5,数据更新表!Z:Z,数据更新表!AC:AC)</f>
        <v>0.00%</v>
      </c>
      <c r="DK5" s="49" t="str">
        <f>_xlfn.XLOOKUP(L5,数据更新表!Z:Z,数据更新表!AI:AI)</f>
        <v>7.15%</v>
      </c>
      <c r="DL5" s="107" t="s">
        <v>111</v>
      </c>
      <c r="DM5" s="102" t="s">
        <v>99</v>
      </c>
      <c r="DW5" s="49">
        <v>3870</v>
      </c>
      <c r="DX5" s="49">
        <v>3870</v>
      </c>
      <c r="DY5" s="98">
        <f>_xlfn.XLOOKUP(L5,数据更新表!J:J,数据更新表!M:M)</f>
        <v>3064</v>
      </c>
      <c r="DZ5" s="98">
        <v>180</v>
      </c>
      <c r="EA5" s="108">
        <f t="shared" si="6"/>
        <v>1.29313555155445</v>
      </c>
      <c r="EB5" s="98">
        <f t="shared" si="7"/>
        <v>469.8</v>
      </c>
      <c r="EC5" s="109">
        <f t="shared" si="8"/>
        <v>1336.70620096</v>
      </c>
      <c r="ED5" s="108">
        <f t="shared" si="9"/>
        <v>0.345402119111111</v>
      </c>
      <c r="EE5" s="110">
        <f t="shared" si="10"/>
        <v>563.89379904</v>
      </c>
      <c r="EF5" s="104" t="str">
        <f t="shared" si="11"/>
        <v>是</v>
      </c>
      <c r="EG5" s="98">
        <f t="shared" si="12"/>
        <v>193.5</v>
      </c>
      <c r="EH5" s="109">
        <f t="shared" si="13"/>
        <v>677.25</v>
      </c>
      <c r="EI5" s="101">
        <f>IF(DX5&lt;=298,IF(DX5&lt;99,25,IF(DX5&lt;=149,30,IF(DX5&lt;=299,37,85))),IF(DX5&lt;=498,_xlfn.XLOOKUP(EQ5,运费表!A:A,运费表!C:C,"重量超限",-1),_xlfn.XLOOKUP(EQ5,运费表!A:A,运费表!D:D,"重量超限",-1)))</f>
        <v>222.5</v>
      </c>
      <c r="EJ5" s="101">
        <f t="shared" si="14"/>
        <v>406.35</v>
      </c>
      <c r="EK5" s="108">
        <v>0.365015078642298</v>
      </c>
      <c r="EL5" s="98">
        <v>8.4</v>
      </c>
      <c r="EM5" s="98">
        <v>57.2</v>
      </c>
      <c r="EN5" s="98">
        <v>43</v>
      </c>
      <c r="EO5" s="98">
        <v>36.6</v>
      </c>
      <c r="EP5" s="109">
        <f t="shared" si="15"/>
        <v>18.004272</v>
      </c>
      <c r="EQ5" s="98">
        <f t="shared" si="16"/>
        <v>18.004272</v>
      </c>
      <c r="ER5" s="111">
        <f t="shared" si="17"/>
        <v>0.09002136</v>
      </c>
      <c r="ES5" s="98">
        <v>50</v>
      </c>
      <c r="ET5" s="112">
        <f t="shared" si="18"/>
        <v>4.501068</v>
      </c>
      <c r="EU5" s="103">
        <f t="shared" si="19"/>
        <v>9000</v>
      </c>
    </row>
    <row r="6" customHeight="1" spans="1:159">
      <c r="B6" s="96" t="s">
        <v>113</v>
      </c>
      <c r="C6" s="97">
        <v>16</v>
      </c>
      <c r="D6" s="98">
        <v>18</v>
      </c>
      <c r="E6" s="99">
        <v>45889</v>
      </c>
      <c r="G6" s="98" t="s">
        <v>114</v>
      </c>
      <c r="H6" s="100" t="s">
        <v>115</v>
      </c>
      <c r="I6" s="113">
        <v>161</v>
      </c>
      <c r="J6" s="100" t="s">
        <v>116</v>
      </c>
      <c r="K6" s="102" t="s">
        <v>117</v>
      </c>
      <c r="L6" s="104">
        <v>2515701467</v>
      </c>
      <c r="M6" s="102" t="s">
        <v>97</v>
      </c>
      <c r="N6" s="52">
        <f>_xlfn.XLOOKUP(L6,数据更新表!J:J,数据更新表!K:K)</f>
        <v>65</v>
      </c>
      <c r="O6" s="52">
        <f>IFERROR(_xlfn.XLOOKUP(K6,数据更新表!A:A,数据更新表!B:B),"0")</f>
        <v>36</v>
      </c>
      <c r="P6" s="52">
        <f>_xlfn.XLOOKUP(K6,[1]库销表!$F:$F,[1]库销表!$L:$L)</f>
        <v>60</v>
      </c>
      <c r="Q6" s="103">
        <f t="shared" si="0"/>
        <v>168</v>
      </c>
      <c r="S6" s="49" t="e">
        <f>_xlfn.XLOOKUP(K6,数据更新表!R:R,数据更新表!S:S)</f>
        <v>#N/A</v>
      </c>
      <c r="T6" s="49" t="e">
        <f>_xlfn.XLOOKUP(K6,数据更新表!V:V,数据更新表!W:W)</f>
        <v>#N/A</v>
      </c>
      <c r="V6" s="104">
        <f t="shared" si="1"/>
        <v>63</v>
      </c>
      <c r="W6" s="98">
        <f t="shared" si="2"/>
        <v>0.571428571428571</v>
      </c>
      <c r="X6" s="98">
        <f t="shared" si="3"/>
        <v>96</v>
      </c>
      <c r="AF6" s="49">
        <f t="shared" si="4"/>
        <v>0</v>
      </c>
      <c r="BK6" s="52"/>
      <c r="BR6" s="52"/>
      <c r="BS6" s="52">
        <f>_xlfn.XLOOKUP(K6,[1]库销表!$F:$F,[1]库销表!$L:$L)</f>
        <v>60</v>
      </c>
      <c r="BT6" s="52">
        <f t="shared" si="5"/>
        <v>0</v>
      </c>
      <c r="BU6" s="49" cm="1">
        <f t="array" ref="BU6:CD6">_xlfn.XLOOKUP(K6,[1]库销表!$F:$F,[1]库销表!$HT:$IC)</f>
        <v>0</v>
      </c>
      <c r="BV6" s="49">
        <v>0</v>
      </c>
      <c r="BW6" s="49">
        <v>0</v>
      </c>
      <c r="BX6" s="49">
        <v>0</v>
      </c>
      <c r="BY6" s="49">
        <v>0</v>
      </c>
      <c r="BZ6" s="49">
        <v>0</v>
      </c>
      <c r="CA6" s="49">
        <v>0</v>
      </c>
      <c r="CB6" s="49">
        <v>0</v>
      </c>
      <c r="CC6" s="49">
        <v>0</v>
      </c>
      <c r="CD6" s="49">
        <v>0</v>
      </c>
      <c r="CW6" s="52">
        <f>_xlfn.XLOOKUP(K6,[1]库销表!$F:$F,[1]库销表!$IE:$IE)</f>
        <v>0</v>
      </c>
      <c r="CX6" s="52">
        <f>_xlfn.XLOOKUP(K6,[1]库销表!$F:$F,[1]库销表!$IF:$IF)</f>
        <v>0</v>
      </c>
      <c r="CY6" s="105">
        <f>_xlfn.XLOOKUP(K6,[1]库销表!$F:$F,[1]库销表!$FL:$FL)</f>
        <v>0</v>
      </c>
      <c r="CZ6" s="52">
        <f>_xlfn.XLOOKUP(K6,数据更新表!E:E,数据更新表!F:F)</f>
        <v>4</v>
      </c>
      <c r="DA6" s="52" t="e">
        <v>#N/A</v>
      </c>
      <c r="DB6" s="52">
        <f>_xlfn.XLOOKUP(K6,数据更新表!E:E,数据更新表!G:G)</f>
        <v>0</v>
      </c>
      <c r="DC6" s="106">
        <f>_xlfn.XLOOKUP(L6,数据更新表!Z:Z,数据更新表!AH:AH)</f>
        <v>0</v>
      </c>
      <c r="DD6" s="49">
        <f>_xlfn.XLOOKUP(L6,数据更新表!Z:Z,数据更新表!AE:AE)</f>
        <v>4</v>
      </c>
      <c r="DE6" s="49">
        <f>_xlfn.XLOOKUP(L6,数据更新表!Z:Z,数据更新表!AF:AF)</f>
        <v>3</v>
      </c>
      <c r="DF6" s="49" t="e">
        <f>_xlfn.XLOOKUP(K6,数据更新表!Z:Z,数据更新表!AG:AG)</f>
        <v>#N/A</v>
      </c>
      <c r="DG6" s="49">
        <f>_xlfn.XLOOKUP(L6,数据更新表!Z:Z,数据更新表!AD:AD)</f>
        <v>314.46</v>
      </c>
      <c r="DH6" s="49">
        <f>_xlfn.XLOOKUP(L6,数据更新表!Z:Z,数据更新表!AA:AA)</f>
        <v>5804</v>
      </c>
      <c r="DI6" s="49">
        <f>_xlfn.XLOOKUP(L6,数据更新表!Z:Z,数据更新表!AB:AB)</f>
        <v>53</v>
      </c>
      <c r="DJ6" s="49" t="str">
        <f>_xlfn.XLOOKUP(L6,数据更新表!Z:Z,数据更新表!AC:AC)</f>
        <v>6.93%</v>
      </c>
      <c r="DK6" s="49" t="str">
        <f>_xlfn.XLOOKUP(L6,数据更新表!Z:Z,数据更新表!AI:AI)</f>
        <v>7.65%</v>
      </c>
      <c r="DL6" s="107" t="s">
        <v>111</v>
      </c>
      <c r="DM6" s="102" t="s">
        <v>99</v>
      </c>
      <c r="DW6" s="49">
        <v>1839</v>
      </c>
      <c r="DX6" s="98">
        <v>1839</v>
      </c>
      <c r="DY6" s="98">
        <f>_xlfn.XLOOKUP(L6,数据更新表!J:J,数据更新表!M:M)</f>
        <v>1369.4</v>
      </c>
      <c r="DZ6" s="98">
        <v>78</v>
      </c>
      <c r="EA6" s="108">
        <f t="shared" si="6"/>
        <v>1.33312544759597</v>
      </c>
      <c r="EB6" s="98">
        <f t="shared" si="7"/>
        <v>203.58</v>
      </c>
      <c r="EC6" s="109">
        <f t="shared" si="8"/>
        <v>624.318276288</v>
      </c>
      <c r="ED6" s="108">
        <f t="shared" si="9"/>
        <v>0.339487915327896</v>
      </c>
      <c r="EE6" s="110">
        <f t="shared" si="10"/>
        <v>264.731723712</v>
      </c>
      <c r="EF6" s="104" t="str">
        <f t="shared" si="11"/>
        <v>是</v>
      </c>
      <c r="EG6" s="98">
        <f t="shared" si="12"/>
        <v>91.95</v>
      </c>
      <c r="EH6" s="109">
        <f t="shared" si="13"/>
        <v>321.825</v>
      </c>
      <c r="EI6" s="101">
        <f>IF(DX6&lt;=298,IF(DX6&lt;99,25,IF(DX6&lt;=149,30,IF(DX6&lt;=299,37,85))),IF(DX6&lt;=498,_xlfn.XLOOKUP(EQ6,运费表!A:A,运费表!C:C,"重量超限",-1),_xlfn.XLOOKUP(EQ6,运费表!A:A,运费表!D:D,"重量超限",-1)))</f>
        <v>139.5</v>
      </c>
      <c r="EJ6" s="101">
        <f t="shared" si="14"/>
        <v>193.095</v>
      </c>
      <c r="EK6" s="108">
        <v>0.331147419518037</v>
      </c>
      <c r="EL6" s="98">
        <v>4.4</v>
      </c>
      <c r="EM6" s="98">
        <v>78.2</v>
      </c>
      <c r="EN6" s="98">
        <v>45.8</v>
      </c>
      <c r="EO6" s="98">
        <v>11.8</v>
      </c>
      <c r="EP6" s="109">
        <f t="shared" si="15"/>
        <v>8.4524816</v>
      </c>
      <c r="EQ6" s="98">
        <f t="shared" si="16"/>
        <v>8.4524816</v>
      </c>
      <c r="ER6" s="111">
        <f t="shared" si="17"/>
        <v>0.042262408</v>
      </c>
      <c r="ES6" s="98">
        <v>50</v>
      </c>
      <c r="ET6" s="112">
        <f t="shared" si="18"/>
        <v>2.1131204</v>
      </c>
      <c r="EU6" s="103">
        <f t="shared" si="19"/>
        <v>3900</v>
      </c>
    </row>
    <row r="7" customHeight="1" spans="1:159">
      <c r="B7" s="114" t="s">
        <v>118</v>
      </c>
      <c r="C7" s="97">
        <v>75</v>
      </c>
      <c r="D7" s="98">
        <v>341</v>
      </c>
      <c r="E7" s="99">
        <v>45889</v>
      </c>
      <c r="G7" s="98" t="s">
        <v>119</v>
      </c>
      <c r="H7" s="100" t="s">
        <v>120</v>
      </c>
      <c r="I7" s="101">
        <v>139</v>
      </c>
      <c r="J7" s="100" t="s">
        <v>606</v>
      </c>
      <c r="K7" s="102" t="s">
        <v>122</v>
      </c>
      <c r="L7" s="104">
        <v>4238819076</v>
      </c>
      <c r="M7" s="102" t="s">
        <v>97</v>
      </c>
      <c r="N7" s="52">
        <f>_xlfn.XLOOKUP(L7,数据更新表!J:J,数据更新表!K:K)</f>
        <v>100</v>
      </c>
      <c r="O7" s="52">
        <f>IFERROR(_xlfn.XLOOKUP(K7,数据更新表!A:A,数据更新表!B:B),"0")</f>
        <v>10</v>
      </c>
      <c r="P7" s="52">
        <f>_xlfn.XLOOKUP(K7,[1]库销表!$F:$F,[1]库销表!$L:$L)</f>
        <v>0</v>
      </c>
      <c r="Q7" s="103">
        <f t="shared" si="0"/>
        <v>35</v>
      </c>
      <c r="S7" s="49" t="e">
        <f>_xlfn.XLOOKUP(K7,数据更新表!R:R,数据更新表!S:S)</f>
        <v>#N/A</v>
      </c>
      <c r="T7" s="49" t="e">
        <f>_xlfn.XLOOKUP(K7,数据更新表!V:V,数据更新表!W:W)</f>
        <v>#N/A</v>
      </c>
      <c r="V7" s="104">
        <f t="shared" si="1"/>
        <v>35</v>
      </c>
      <c r="W7" s="98">
        <f t="shared" si="2"/>
        <v>0.285714285714286</v>
      </c>
      <c r="X7" s="98">
        <f t="shared" si="3"/>
        <v>10</v>
      </c>
      <c r="AF7" s="49">
        <f t="shared" si="4"/>
        <v>0</v>
      </c>
      <c r="BK7" s="52"/>
      <c r="BR7" s="52"/>
      <c r="BS7" s="52">
        <f>_xlfn.XLOOKUP(K7,[1]库销表!$F:$F,[1]库销表!$L:$L)</f>
        <v>0</v>
      </c>
      <c r="BT7" s="52">
        <f t="shared" si="5"/>
        <v>0</v>
      </c>
      <c r="BU7" s="49" cm="1">
        <f t="array" ref="BU7:CD7">_xlfn.XLOOKUP(K7,[1]库销表!$F:$F,[1]库销表!$HT:$IC)</f>
        <v>0</v>
      </c>
      <c r="BV7" s="49">
        <v>0</v>
      </c>
      <c r="BW7" s="49">
        <v>0</v>
      </c>
      <c r="BX7" s="49">
        <v>0</v>
      </c>
      <c r="BY7" s="49">
        <v>0</v>
      </c>
      <c r="BZ7" s="49">
        <v>0</v>
      </c>
      <c r="CA7" s="49">
        <v>0</v>
      </c>
      <c r="CB7" s="49">
        <v>0</v>
      </c>
      <c r="CC7" s="49">
        <v>0</v>
      </c>
      <c r="CD7" s="49">
        <v>0</v>
      </c>
      <c r="CW7" s="52">
        <f>_xlfn.XLOOKUP(K7,[1]库销表!$F:$F,[1]库销表!$IE:$IE)</f>
        <v>0</v>
      </c>
      <c r="CX7" s="52">
        <f>_xlfn.XLOOKUP(K7,[1]库销表!$F:$F,[1]库销表!$IF:$IF)</f>
        <v>0</v>
      </c>
      <c r="CY7" s="105">
        <f>_xlfn.XLOOKUP(K7,[1]库销表!$F:$F,[1]库销表!$FL:$FL)</f>
        <v>0</v>
      </c>
      <c r="CZ7" s="52">
        <f>_xlfn.XLOOKUP(K7,数据更新表!E:E,数据更新表!F:F)</f>
        <v>2</v>
      </c>
      <c r="DA7" s="52" t="s">
        <v>607</v>
      </c>
      <c r="DB7" s="52">
        <f>_xlfn.XLOOKUP(K7,数据更新表!E:E,数据更新表!G:G)</f>
        <v>0</v>
      </c>
      <c r="DC7" s="106">
        <f>_xlfn.XLOOKUP(L7,数据更新表!Z:Z,数据更新表!AH:AH)</f>
        <v>2</v>
      </c>
      <c r="DD7" s="49">
        <f>_xlfn.XLOOKUP(L7,数据更新表!Z:Z,数据更新表!AE:AE)</f>
        <v>0</v>
      </c>
      <c r="DE7" s="49">
        <f>_xlfn.XLOOKUP(L7,数据更新表!Z:Z,数据更新表!AF:AF)</f>
        <v>0</v>
      </c>
      <c r="DF7" s="49" t="e">
        <f>_xlfn.XLOOKUP(K7,数据更新表!Z:Z,数据更新表!AG:AG)</f>
        <v>#N/A</v>
      </c>
      <c r="DG7" s="49">
        <f>_xlfn.XLOOKUP(L7,数据更新表!Z:Z,数据更新表!AD:AD)</f>
        <v>28.89</v>
      </c>
      <c r="DH7" s="49">
        <f>_xlfn.XLOOKUP(L7,数据更新表!Z:Z,数据更新表!AA:AA)</f>
        <v>30981</v>
      </c>
      <c r="DI7" s="49">
        <f>_xlfn.XLOOKUP(L7,数据更新表!Z:Z,数据更新表!AB:AB)</f>
        <v>13</v>
      </c>
      <c r="DJ7" s="49" t="str">
        <f>_xlfn.XLOOKUP(L7,数据更新表!Z:Z,数据更新表!AC:AC)</f>
        <v>0.00%</v>
      </c>
      <c r="DK7" s="49" t="str">
        <f>_xlfn.XLOOKUP(L7,数据更新表!Z:Z,数据更新表!AI:AI)</f>
        <v>2.08%</v>
      </c>
      <c r="DL7" s="107" t="s">
        <v>111</v>
      </c>
      <c r="DM7" s="102" t="s">
        <v>608</v>
      </c>
      <c r="DW7" s="49">
        <v>729</v>
      </c>
      <c r="DX7" s="98">
        <v>729</v>
      </c>
      <c r="DY7" s="98">
        <f>_xlfn.XLOOKUP(L7,数据更新表!J:J,数据更新表!M:M)</f>
        <v>994.29</v>
      </c>
      <c r="DZ7" s="98">
        <v>34.5</v>
      </c>
      <c r="EA7" s="108">
        <f t="shared" si="6"/>
        <v>0.105787056843787</v>
      </c>
      <c r="EB7" s="98">
        <f t="shared" si="7"/>
        <v>90.045</v>
      </c>
      <c r="EC7" s="109">
        <f t="shared" si="8"/>
        <v>33.3810000000001</v>
      </c>
      <c r="ED7" s="108">
        <f t="shared" si="9"/>
        <v>0.0457901234567903</v>
      </c>
      <c r="EE7" s="110">
        <f t="shared" si="10"/>
        <v>225.504</v>
      </c>
      <c r="EF7" s="104" t="str">
        <f t="shared" si="11"/>
        <v>是</v>
      </c>
      <c r="EG7" s="98">
        <f t="shared" si="12"/>
        <v>36.45</v>
      </c>
      <c r="EH7" s="109">
        <f t="shared" si="13"/>
        <v>127.575</v>
      </c>
      <c r="EI7" s="101">
        <f>IF(DX7&lt;=298,IF(DX7&lt;99,25,IF(DX7&lt;=149,30,IF(DX7&lt;=299,37,85))),IF(DX7&lt;=498,_xlfn.XLOOKUP(EQ7,运费表!A:A,运费表!C:C,"重量超限",-1),_xlfn.XLOOKUP(EQ7,运费表!A:A,运费表!D:D,"重量超限",-1)))</f>
        <v>139.5</v>
      </c>
      <c r="EJ7" s="101">
        <f t="shared" si="14"/>
        <v>76.545</v>
      </c>
      <c r="EK7" s="108">
        <v>0.0435040509259261</v>
      </c>
      <c r="EL7" s="98">
        <v>2.9</v>
      </c>
      <c r="EM7" s="98">
        <v>75.6</v>
      </c>
      <c r="EN7" s="98">
        <v>55.2</v>
      </c>
      <c r="EO7" s="98">
        <v>8.8</v>
      </c>
      <c r="EP7" s="109">
        <f t="shared" si="15"/>
        <v>7.3446912</v>
      </c>
      <c r="EQ7" s="98">
        <f t="shared" si="16"/>
        <v>7.3446912</v>
      </c>
      <c r="ER7" s="111">
        <v>0.036</v>
      </c>
      <c r="ES7" s="98">
        <v>100</v>
      </c>
      <c r="ET7" s="112">
        <f t="shared" si="18"/>
        <v>3.6</v>
      </c>
      <c r="EU7" s="103">
        <f t="shared" si="19"/>
        <v>3450</v>
      </c>
    </row>
    <row r="8" customHeight="1" spans="1:159">
      <c r="B8" s="114" t="s">
        <v>125</v>
      </c>
      <c r="C8" s="97">
        <v>26</v>
      </c>
      <c r="D8" s="98">
        <v>202</v>
      </c>
      <c r="E8" s="99">
        <v>45889</v>
      </c>
      <c r="G8" s="98" t="s">
        <v>119</v>
      </c>
      <c r="H8" s="100" t="s">
        <v>126</v>
      </c>
      <c r="I8" s="113">
        <v>139</v>
      </c>
      <c r="J8" s="100" t="s">
        <v>609</v>
      </c>
      <c r="K8" s="102" t="s">
        <v>128</v>
      </c>
      <c r="L8" s="104">
        <v>4239173046</v>
      </c>
      <c r="M8" s="102" t="s">
        <v>97</v>
      </c>
      <c r="N8" s="52" t="e">
        <f>_xlfn.XLOOKUP(L8,数据更新表!J:J,数据更新表!K:K)</f>
        <v>#N/A</v>
      </c>
      <c r="O8" s="52">
        <f>IFERROR(_xlfn.XLOOKUP(K8,数据更新表!A:A,数据更新表!B:B),"0")</f>
        <v>0</v>
      </c>
      <c r="P8" s="52">
        <f>_xlfn.XLOOKUP(K8,[1]库销表!$F:$F,[1]库销表!$L:$L)</f>
        <v>0</v>
      </c>
      <c r="Q8" s="103" t="e">
        <f t="shared" si="0"/>
        <v>#N/A</v>
      </c>
      <c r="S8" s="49">
        <f>_xlfn.XLOOKUP(K8,数据更新表!R:R,数据更新表!S:S)</f>
        <v>12</v>
      </c>
      <c r="T8" s="49" t="e">
        <f>_xlfn.XLOOKUP(K8,数据更新表!V:V,数据更新表!W:W)</f>
        <v>#N/A</v>
      </c>
      <c r="V8" s="104" t="str">
        <f t="shared" si="1"/>
        <v>0</v>
      </c>
      <c r="W8" s="98" t="e">
        <f t="shared" si="2"/>
        <v>#N/A</v>
      </c>
      <c r="X8" s="98">
        <f t="shared" si="3"/>
        <v>0</v>
      </c>
      <c r="AF8" s="49">
        <f t="shared" si="4"/>
        <v>0</v>
      </c>
      <c r="BK8" s="52"/>
      <c r="BR8" s="52"/>
      <c r="BS8" s="52">
        <f>_xlfn.XLOOKUP(K8,[1]库销表!$F:$F,[1]库销表!$L:$L)</f>
        <v>0</v>
      </c>
      <c r="BT8" s="52">
        <f t="shared" si="5"/>
        <v>0</v>
      </c>
      <c r="BU8" s="49" cm="1">
        <f t="array" ref="BU8:CD8">_xlfn.XLOOKUP(K8,[1]库销表!$F:$F,[1]库销表!$HT:$IC)</f>
        <v>0</v>
      </c>
      <c r="BV8" s="49">
        <v>0</v>
      </c>
      <c r="BW8" s="49">
        <v>0</v>
      </c>
      <c r="BX8" s="49">
        <v>0</v>
      </c>
      <c r="BY8" s="49">
        <v>0</v>
      </c>
      <c r="BZ8" s="49">
        <v>0</v>
      </c>
      <c r="CA8" s="49">
        <v>0</v>
      </c>
      <c r="CB8" s="49">
        <v>0</v>
      </c>
      <c r="CC8" s="49">
        <v>0</v>
      </c>
      <c r="CD8" s="49">
        <v>0</v>
      </c>
      <c r="CW8" s="52">
        <f>_xlfn.XLOOKUP(K8,[1]库销表!$F:$F,[1]库销表!$IE:$IE)</f>
        <v>0</v>
      </c>
      <c r="CX8" s="52">
        <f>_xlfn.XLOOKUP(K8,[1]库销表!$F:$F,[1]库销表!$IF:$IF)</f>
        <v>0</v>
      </c>
      <c r="CY8" s="105">
        <f>_xlfn.XLOOKUP(K8,[1]库销表!$F:$F,[1]库销表!$FL:$FL)</f>
        <v>0</v>
      </c>
      <c r="CZ8" s="52" t="e">
        <f>_xlfn.XLOOKUP(K8,数据更新表!E:E,数据更新表!F:F)</f>
        <v>#N/A</v>
      </c>
      <c r="DA8" s="52" t="e">
        <v>#N/A</v>
      </c>
      <c r="DB8" s="52" t="e">
        <f>_xlfn.XLOOKUP(K8,数据更新表!E:E,数据更新表!G:G)</f>
        <v>#N/A</v>
      </c>
      <c r="DC8" s="106" t="e">
        <f>_xlfn.XLOOKUP(L8,数据更新表!Z:Z,数据更新表!AH:AH)</f>
        <v>#N/A</v>
      </c>
      <c r="DD8" s="49" t="e">
        <f>_xlfn.XLOOKUP(L8,数据更新表!Z:Z,数据更新表!AE:AE)</f>
        <v>#N/A</v>
      </c>
      <c r="DE8" s="49" t="e">
        <f>_xlfn.XLOOKUP(L8,数据更新表!Z:Z,数据更新表!AF:AF)</f>
        <v>#N/A</v>
      </c>
      <c r="DF8" s="49" t="e">
        <f>_xlfn.XLOOKUP(K8,数据更新表!Z:Z,数据更新表!AG:AG)</f>
        <v>#N/A</v>
      </c>
      <c r="DG8" s="49" t="e">
        <f>_xlfn.XLOOKUP(L8,数据更新表!Z:Z,数据更新表!AD:AD)</f>
        <v>#N/A</v>
      </c>
      <c r="DH8" s="49" t="e">
        <f>_xlfn.XLOOKUP(L8,数据更新表!Z:Z,数据更新表!AA:AA)</f>
        <v>#N/A</v>
      </c>
      <c r="DI8" s="49" t="e">
        <f>_xlfn.XLOOKUP(L8,数据更新表!Z:Z,数据更新表!AB:AB)</f>
        <v>#N/A</v>
      </c>
      <c r="DJ8" s="49" t="e">
        <f>_xlfn.XLOOKUP(L8,数据更新表!Z:Z,数据更新表!AC:AC)</f>
        <v>#N/A</v>
      </c>
      <c r="DK8" s="49" t="e">
        <f>_xlfn.XLOOKUP(L8,数据更新表!Z:Z,数据更新表!AI:AI)</f>
        <v>#N/A</v>
      </c>
      <c r="DL8" s="107" t="s">
        <v>111</v>
      </c>
      <c r="DM8" s="102" t="s">
        <v>608</v>
      </c>
      <c r="DW8" s="49">
        <v>669</v>
      </c>
      <c r="DX8" s="98">
        <v>669</v>
      </c>
      <c r="DY8" s="98" t="e">
        <f>_xlfn.XLOOKUP(L8,数据更新表!J:J,数据更新表!M:M)</f>
        <v>#N/A</v>
      </c>
      <c r="DZ8" s="98">
        <v>30.5</v>
      </c>
      <c r="EA8" s="108">
        <f t="shared" si="6"/>
        <v>0.110293911885952</v>
      </c>
      <c r="EB8" s="98">
        <f t="shared" si="7"/>
        <v>79.605</v>
      </c>
      <c r="EC8" s="109">
        <f t="shared" si="8"/>
        <v>32.3572304</v>
      </c>
      <c r="ED8" s="108">
        <f t="shared" si="9"/>
        <v>0.0483665626307922</v>
      </c>
      <c r="EE8" s="110">
        <f t="shared" si="10"/>
        <v>213.7677696</v>
      </c>
      <c r="EF8" s="104" t="str">
        <f t="shared" si="11"/>
        <v>是</v>
      </c>
      <c r="EG8" s="98">
        <f t="shared" si="12"/>
        <v>33.45</v>
      </c>
      <c r="EH8" s="109">
        <f t="shared" si="13"/>
        <v>117.075</v>
      </c>
      <c r="EI8" s="101">
        <f>IF(DX8&lt;=298,IF(DX8&lt;99,25,IF(DX8&lt;=149,30,IF(DX8&lt;=299,37,85))),IF(DX8&lt;=498,_xlfn.XLOOKUP(EQ8,运费表!A:A,运费表!C:C,"重量超限",-1),_xlfn.XLOOKUP(EQ8,运费表!A:A,运费表!D:D,"重量超限",-1)))</f>
        <v>122.5</v>
      </c>
      <c r="EJ8" s="101">
        <f t="shared" si="14"/>
        <v>70.245</v>
      </c>
      <c r="EK8" s="108">
        <v>0.0187026813122863</v>
      </c>
      <c r="EL8" s="98">
        <v>2.8</v>
      </c>
      <c r="EM8" s="98">
        <v>77</v>
      </c>
      <c r="EN8" s="98">
        <v>55.4</v>
      </c>
      <c r="EO8" s="98">
        <v>8</v>
      </c>
      <c r="EP8" s="109">
        <f t="shared" si="15"/>
        <v>6.82528</v>
      </c>
      <c r="EQ8" s="98">
        <f t="shared" si="16"/>
        <v>6.82528</v>
      </c>
      <c r="ER8" s="111">
        <f t="shared" ref="ER8:ER11" si="20">EM8*EN8*EO8/1000000</f>
        <v>0.0341264</v>
      </c>
      <c r="ES8" s="98">
        <v>100</v>
      </c>
      <c r="ET8" s="112">
        <f t="shared" si="18"/>
        <v>3.41264</v>
      </c>
      <c r="EU8" s="103">
        <f t="shared" si="19"/>
        <v>3050</v>
      </c>
    </row>
    <row r="9" customHeight="1" spans="1:159">
      <c r="B9" s="114" t="s">
        <v>131</v>
      </c>
      <c r="C9" s="97">
        <v>51</v>
      </c>
      <c r="D9" s="98">
        <v>275</v>
      </c>
      <c r="E9" s="99">
        <v>45889</v>
      </c>
      <c r="G9" s="98" t="s">
        <v>119</v>
      </c>
      <c r="H9" s="100" t="s">
        <v>132</v>
      </c>
      <c r="I9" s="113">
        <v>161</v>
      </c>
      <c r="J9" s="100" t="s">
        <v>133</v>
      </c>
      <c r="K9" s="102" t="s">
        <v>134</v>
      </c>
      <c r="L9" s="104">
        <v>4239812144</v>
      </c>
      <c r="M9" s="102" t="s">
        <v>97</v>
      </c>
      <c r="N9" s="52" t="e">
        <f>_xlfn.XLOOKUP(L9,数据更新表!J:J,数据更新表!K:K)</f>
        <v>#N/A</v>
      </c>
      <c r="O9" s="52">
        <f>IFERROR(_xlfn.XLOOKUP(K9,数据更新表!A:A,数据更新表!B:B),"0")</f>
        <v>0</v>
      </c>
      <c r="P9" s="52">
        <f>_xlfn.XLOOKUP(K9,[1]库销表!$F:$F,[1]库销表!$L:$L)</f>
        <v>0</v>
      </c>
      <c r="Q9" s="103" t="e">
        <f t="shared" si="0"/>
        <v>#N/A</v>
      </c>
      <c r="S9" s="49" t="e">
        <f>_xlfn.XLOOKUP(K9,数据更新表!R:R,数据更新表!S:S)</f>
        <v>#N/A</v>
      </c>
      <c r="T9" s="49" t="e">
        <f>_xlfn.XLOOKUP(K9,数据更新表!V:V,数据更新表!W:W)</f>
        <v>#N/A</v>
      </c>
      <c r="V9" s="104" t="str">
        <f t="shared" si="1"/>
        <v>0</v>
      </c>
      <c r="W9" s="98" t="e">
        <f t="shared" si="2"/>
        <v>#N/A</v>
      </c>
      <c r="X9" s="98">
        <f t="shared" si="3"/>
        <v>0</v>
      </c>
      <c r="AF9" s="49">
        <f t="shared" si="4"/>
        <v>0</v>
      </c>
      <c r="BK9" s="52"/>
      <c r="BR9" s="52"/>
      <c r="BS9" s="52">
        <f>_xlfn.XLOOKUP(K9,[1]库销表!$F:$F,[1]库销表!$L:$L)</f>
        <v>0</v>
      </c>
      <c r="BT9" s="52">
        <f t="shared" si="5"/>
        <v>0</v>
      </c>
      <c r="BU9" s="49" cm="1">
        <f t="array" ref="BU9:CD9">_xlfn.XLOOKUP(K9,[1]库销表!$F:$F,[1]库销表!$HT:$IC)</f>
        <v>0</v>
      </c>
      <c r="BV9" s="49">
        <v>0</v>
      </c>
      <c r="BW9" s="49">
        <v>0</v>
      </c>
      <c r="BX9" s="49">
        <v>0</v>
      </c>
      <c r="BY9" s="49">
        <v>0</v>
      </c>
      <c r="BZ9" s="49">
        <v>0</v>
      </c>
      <c r="CA9" s="49">
        <v>0</v>
      </c>
      <c r="CB9" s="49">
        <v>0</v>
      </c>
      <c r="CC9" s="49">
        <v>0</v>
      </c>
      <c r="CD9" s="49">
        <v>0</v>
      </c>
      <c r="CW9" s="52">
        <f>_xlfn.XLOOKUP(K9,[1]库销表!$F:$F,[1]库销表!$IE:$IE)</f>
        <v>0</v>
      </c>
      <c r="CX9" s="52">
        <f>_xlfn.XLOOKUP(K9,[1]库销表!$F:$F,[1]库销表!$IF:$IF)</f>
        <v>0</v>
      </c>
      <c r="CY9" s="105">
        <f>_xlfn.XLOOKUP(K9,[1]库销表!$F:$F,[1]库销表!$FL:$FL)</f>
        <v>0</v>
      </c>
      <c r="CZ9" s="52" t="e">
        <f>_xlfn.XLOOKUP(K9,数据更新表!E:E,数据更新表!F:F)</f>
        <v>#N/A</v>
      </c>
      <c r="DA9" s="52" t="s">
        <v>610</v>
      </c>
      <c r="DB9" s="52" t="e">
        <f>_xlfn.XLOOKUP(K9,数据更新表!E:E,数据更新表!G:G)</f>
        <v>#N/A</v>
      </c>
      <c r="DC9" s="106" t="e">
        <f>_xlfn.XLOOKUP(L9,数据更新表!Z:Z,数据更新表!AH:AH)</f>
        <v>#N/A</v>
      </c>
      <c r="DD9" s="49" t="e">
        <f>_xlfn.XLOOKUP(L9,数据更新表!Z:Z,数据更新表!AE:AE)</f>
        <v>#N/A</v>
      </c>
      <c r="DE9" s="49" t="e">
        <f>_xlfn.XLOOKUP(L9,数据更新表!Z:Z,数据更新表!AF:AF)</f>
        <v>#N/A</v>
      </c>
      <c r="DF9" s="49" t="e">
        <f>_xlfn.XLOOKUP(K9,数据更新表!Z:Z,数据更新表!AG:AG)</f>
        <v>#N/A</v>
      </c>
      <c r="DG9" s="49" t="e">
        <f>_xlfn.XLOOKUP(L9,数据更新表!Z:Z,数据更新表!AD:AD)</f>
        <v>#N/A</v>
      </c>
      <c r="DH9" s="49" t="e">
        <f>_xlfn.XLOOKUP(L9,数据更新表!Z:Z,数据更新表!AA:AA)</f>
        <v>#N/A</v>
      </c>
      <c r="DI9" s="49" t="e">
        <f>_xlfn.XLOOKUP(L9,数据更新表!Z:Z,数据更新表!AB:AB)</f>
        <v>#N/A</v>
      </c>
      <c r="DJ9" s="49" t="e">
        <f>_xlfn.XLOOKUP(L9,数据更新表!Z:Z,数据更新表!AC:AC)</f>
        <v>#N/A</v>
      </c>
      <c r="DK9" s="49" t="e">
        <f>_xlfn.XLOOKUP(L9,数据更新表!Z:Z,数据更新表!AI:AI)</f>
        <v>#N/A</v>
      </c>
      <c r="DL9" s="107" t="s">
        <v>111</v>
      </c>
      <c r="DM9" s="102" t="s">
        <v>608</v>
      </c>
      <c r="DW9" s="49">
        <v>1129</v>
      </c>
      <c r="DX9" s="98">
        <v>1129</v>
      </c>
      <c r="DY9" s="98" t="e">
        <f>_xlfn.XLOOKUP(L9,数据更新表!J:J,数据更新表!M:M)</f>
        <v>#N/A</v>
      </c>
      <c r="DZ9" s="98">
        <v>51.5</v>
      </c>
      <c r="EA9" s="108">
        <f t="shared" si="6"/>
        <v>0.581545710317353</v>
      </c>
      <c r="EB9" s="98">
        <f t="shared" si="7"/>
        <v>134.415</v>
      </c>
      <c r="EC9" s="109">
        <f t="shared" si="8"/>
        <v>226.84958944</v>
      </c>
      <c r="ED9" s="108">
        <f t="shared" si="9"/>
        <v>0.200929662922941</v>
      </c>
      <c r="EE9" s="110">
        <f t="shared" si="10"/>
        <v>255.66541056</v>
      </c>
      <c r="EF9" s="104" t="str">
        <f t="shared" si="11"/>
        <v>是</v>
      </c>
      <c r="EG9" s="98">
        <f t="shared" si="12"/>
        <v>56.45</v>
      </c>
      <c r="EH9" s="109">
        <f t="shared" si="13"/>
        <v>197.575</v>
      </c>
      <c r="EI9" s="101">
        <f>IF(DX9&lt;=298,IF(DX9&lt;99,25,IF(DX9&lt;=149,30,IF(DX9&lt;=299,37,85))),IF(DX9&lt;=498,_xlfn.XLOOKUP(EQ9,运费表!A:A,运费表!C:C,"重量超限",-1),_xlfn.XLOOKUP(EQ9,运费表!A:A,运费表!D:D,"重量超限",-1)))</f>
        <v>139.5</v>
      </c>
      <c r="EJ9" s="101">
        <f t="shared" si="14"/>
        <v>118.545</v>
      </c>
      <c r="EK9" s="108">
        <v>0.199369118956522</v>
      </c>
      <c r="EL9" s="98">
        <v>4.4</v>
      </c>
      <c r="EM9" s="98">
        <v>76</v>
      </c>
      <c r="EN9" s="98">
        <v>54.8</v>
      </c>
      <c r="EO9" s="98">
        <v>9.8</v>
      </c>
      <c r="EP9" s="109">
        <f t="shared" si="15"/>
        <v>8.163008</v>
      </c>
      <c r="EQ9" s="98">
        <f t="shared" si="16"/>
        <v>8.163008</v>
      </c>
      <c r="ER9" s="111">
        <f t="shared" si="20"/>
        <v>0.04081504</v>
      </c>
      <c r="ES9" s="98">
        <v>100</v>
      </c>
      <c r="ET9" s="112">
        <f t="shared" si="18"/>
        <v>4.081504</v>
      </c>
      <c r="EU9" s="103">
        <f t="shared" si="19"/>
        <v>5150</v>
      </c>
    </row>
    <row r="10" hidden="1" customHeight="1" spans="1:159">
      <c r="B10" s="96" t="s">
        <v>611</v>
      </c>
      <c r="C10" s="97">
        <v>19</v>
      </c>
      <c r="D10" s="98">
        <v>67</v>
      </c>
      <c r="E10" s="99">
        <v>45889</v>
      </c>
      <c r="G10" s="98" t="s">
        <v>138</v>
      </c>
      <c r="H10" s="100" t="s">
        <v>612</v>
      </c>
      <c r="I10" s="101"/>
      <c r="J10" s="100" t="s">
        <v>613</v>
      </c>
      <c r="K10" s="100" t="s">
        <v>614</v>
      </c>
      <c r="L10" s="98"/>
      <c r="M10" s="102" t="s">
        <v>183</v>
      </c>
      <c r="N10" s="52">
        <f>_xlfn.XLOOKUP(L10,数据更新表!J:J,数据更新表!K:K)</f>
        <v>0</v>
      </c>
      <c r="O10" s="52" t="str">
        <f>IFERROR(_xlfn.XLOOKUP(K10,数据更新表!A:A,数据更新表!B:B),"0")</f>
        <v>0</v>
      </c>
      <c r="P10" s="52" t="e">
        <f>_xlfn.XLOOKUP(K10,[1]库销表!$F:$F,[1]库销表!$L:$L)</f>
        <v>#N/A</v>
      </c>
      <c r="Q10" s="103" t="e">
        <f t="shared" si="0"/>
        <v>#N/A</v>
      </c>
      <c r="S10" s="49" t="e">
        <f>_xlfn.XLOOKUP(K10,数据更新表!R:R,数据更新表!S:S)</f>
        <v>#N/A</v>
      </c>
      <c r="T10" s="49" t="e">
        <f>_xlfn.XLOOKUP(K10,数据更新表!V:V,数据更新表!W:W)</f>
        <v>#N/A</v>
      </c>
      <c r="V10" s="104" t="str">
        <f t="shared" si="1"/>
        <v>0</v>
      </c>
      <c r="W10" s="98" t="e">
        <f t="shared" si="2"/>
        <v>#N/A</v>
      </c>
      <c r="X10" s="98" t="e">
        <f t="shared" si="3"/>
        <v>#N/A</v>
      </c>
      <c r="AF10" s="49">
        <f t="shared" si="4"/>
        <v>0</v>
      </c>
      <c r="BK10" s="52"/>
      <c r="BR10" s="52"/>
      <c r="BS10" s="52" t="e">
        <f>_xlfn.XLOOKUP(K10,[1]库销表!$F:$F,[1]库销表!$L:$L)</f>
        <v>#N/A</v>
      </c>
      <c r="BT10" s="52" t="e">
        <f t="shared" si="5"/>
        <v>#N/A</v>
      </c>
      <c r="BU10" s="49" t="e" cm="1">
        <f t="array" ref="BU10">_xlfn.XLOOKUP(K10,[1]库销表!$F:$F,[1]库销表!$HT:$IC)</f>
        <v>#N/A</v>
      </c>
      <c r="CW10" s="52" t="e">
        <f>_xlfn.XLOOKUP(K10,[1]库销表!$F:$F,[1]库销表!$IE:$IE)</f>
        <v>#N/A</v>
      </c>
      <c r="CX10" s="52" t="e">
        <f>_xlfn.XLOOKUP(K10,[1]库销表!$F:$F,[1]库销表!$IF:$IF)</f>
        <v>#N/A</v>
      </c>
      <c r="CY10" s="105" t="e">
        <f>_xlfn.XLOOKUP(K10,[1]库销表!$F:$F,[1]库销表!$FL:$FL)</f>
        <v>#N/A</v>
      </c>
      <c r="CZ10" s="52" t="e">
        <f>_xlfn.XLOOKUP(K10,数据更新表!E:E,数据更新表!F:F)</f>
        <v>#N/A</v>
      </c>
      <c r="DA10" s="52" t="e">
        <v>#N/A</v>
      </c>
      <c r="DB10" s="52" t="e">
        <f>_xlfn.XLOOKUP(K10,数据更新表!E:E,数据更新表!G:G)</f>
        <v>#N/A</v>
      </c>
      <c r="DC10" s="106">
        <f>_xlfn.XLOOKUP(L10,数据更新表!Z:Z,数据更新表!AH:AH)</f>
        <v>0</v>
      </c>
      <c r="DD10" s="49">
        <f>_xlfn.XLOOKUP(L10,数据更新表!Z:Z,数据更新表!AE:AE)</f>
        <v>0</v>
      </c>
      <c r="DE10" s="49">
        <f>_xlfn.XLOOKUP(L10,数据更新表!Z:Z,数据更新表!AF:AF)</f>
        <v>0</v>
      </c>
      <c r="DF10" s="49" t="e">
        <f>_xlfn.XLOOKUP(K10,数据更新表!Z:Z,数据更新表!AG:AG)</f>
        <v>#N/A</v>
      </c>
      <c r="DG10" s="49">
        <f>_xlfn.XLOOKUP(L10,数据更新表!Z:Z,数据更新表!AD:AD)</f>
        <v>0</v>
      </c>
      <c r="DH10" s="49">
        <f>_xlfn.XLOOKUP(L10,数据更新表!Z:Z,数据更新表!AA:AA)</f>
        <v>0</v>
      </c>
      <c r="DI10" s="49">
        <f>_xlfn.XLOOKUP(L10,数据更新表!Z:Z,数据更新表!AB:AB)</f>
        <v>0</v>
      </c>
      <c r="DJ10" s="49">
        <f>_xlfn.XLOOKUP(L10,数据更新表!Z:Z,数据更新表!AC:AC)</f>
        <v>0</v>
      </c>
      <c r="DK10" s="49">
        <f>_xlfn.XLOOKUP(L10,数据更新表!Z:Z,数据更新表!AI:AI)</f>
        <v>0</v>
      </c>
      <c r="DL10" s="107" t="s">
        <v>111</v>
      </c>
      <c r="DX10" s="98">
        <f>_xlfn.XLOOKUP(L10,数据更新表!J:J,数据更新表!L:L)</f>
        <v>0</v>
      </c>
      <c r="DY10" s="98">
        <f>_xlfn.XLOOKUP(L10,数据更新表!J:J,数据更新表!M:M)</f>
        <v>0</v>
      </c>
      <c r="DZ10" s="98">
        <v>66.75</v>
      </c>
      <c r="EA10" s="108">
        <f t="shared" si="6"/>
        <v>-1.08211635256505</v>
      </c>
      <c r="EB10" s="98">
        <f t="shared" si="7"/>
        <v>174.2175</v>
      </c>
      <c r="EC10" s="109">
        <f t="shared" si="8"/>
        <v>-329.44606</v>
      </c>
      <c r="ED10" s="108" t="e">
        <f t="shared" si="9"/>
        <v>#DIV/0!</v>
      </c>
      <c r="EE10" s="110">
        <f t="shared" si="10"/>
        <v>130.22856</v>
      </c>
      <c r="EF10" s="104" t="str">
        <f t="shared" si="11"/>
        <v>否</v>
      </c>
      <c r="EG10" s="98">
        <f t="shared" si="12"/>
        <v>0</v>
      </c>
      <c r="EH10" s="98">
        <f t="shared" si="13"/>
        <v>0</v>
      </c>
      <c r="EI10" s="101">
        <f>IF(DX10&lt;=298,IF(DX10&lt;99,25,IF(DX10&lt;=149,30,IF(DX10&lt;=299,37,85))),IF(DX10&lt;=498,_xlfn.XLOOKUP(EQ10,运费表!A:A,运费表!C:C,"重量超限",-1),_xlfn.XLOOKUP(EQ10,运费表!A:A,运费表!D:D,"重量超限",-1)))</f>
        <v>25</v>
      </c>
      <c r="EJ10" s="101">
        <f t="shared" si="14"/>
        <v>0</v>
      </c>
      <c r="EK10" s="108" t="e">
        <v>#DIV/0!</v>
      </c>
      <c r="EL10" s="98">
        <v>4.2</v>
      </c>
      <c r="EM10" s="98">
        <v>90</v>
      </c>
      <c r="EN10" s="98">
        <v>21</v>
      </c>
      <c r="EO10" s="98">
        <v>11</v>
      </c>
      <c r="EP10" s="98">
        <f t="shared" si="15"/>
        <v>4.158</v>
      </c>
      <c r="EQ10" s="98">
        <f t="shared" si="16"/>
        <v>4.2</v>
      </c>
      <c r="ER10" s="98">
        <f t="shared" si="20"/>
        <v>0.02079</v>
      </c>
      <c r="ES10" s="98">
        <v>50</v>
      </c>
      <c r="ET10" s="112"/>
      <c r="EU10" s="103">
        <f t="shared" si="19"/>
        <v>3337.5</v>
      </c>
    </row>
    <row r="11" customHeight="1" spans="1:159">
      <c r="B11" s="96" t="s">
        <v>137</v>
      </c>
      <c r="C11" s="97">
        <v>14</v>
      </c>
      <c r="D11" s="98">
        <v>46</v>
      </c>
      <c r="E11" s="99">
        <v>45889</v>
      </c>
      <c r="G11" s="98" t="s">
        <v>138</v>
      </c>
      <c r="H11" s="100" t="s">
        <v>139</v>
      </c>
      <c r="I11" s="101"/>
      <c r="J11" s="100" t="s">
        <v>140</v>
      </c>
      <c r="K11" s="100" t="s">
        <v>141</v>
      </c>
      <c r="L11" s="104">
        <v>2515831365</v>
      </c>
      <c r="M11" s="102" t="s">
        <v>97</v>
      </c>
      <c r="N11" s="52" t="e">
        <f>_xlfn.XLOOKUP(L11,数据更新表!J:J,数据更新表!K:K)</f>
        <v>#N/A</v>
      </c>
      <c r="O11" s="52">
        <f>IFERROR(_xlfn.XLOOKUP(K11,数据更新表!A:A,数据更新表!B:B),"0")</f>
        <v>0</v>
      </c>
      <c r="P11" s="52">
        <f>_xlfn.XLOOKUP(K11,[1]库销表!$F:$F,[1]库销表!$L:$L)</f>
        <v>0</v>
      </c>
      <c r="Q11" s="103">
        <f t="shared" si="0"/>
        <v>0</v>
      </c>
      <c r="S11" s="49" t="e">
        <f>_xlfn.XLOOKUP(K11,数据更新表!R:R,数据更新表!S:S)</f>
        <v>#N/A</v>
      </c>
      <c r="T11" s="49" t="e">
        <f>_xlfn.XLOOKUP(K11,数据更新表!V:V,数据更新表!W:W)</f>
        <v>#N/A</v>
      </c>
      <c r="V11" s="104">
        <f t="shared" si="1"/>
        <v>0</v>
      </c>
      <c r="W11" s="98">
        <f t="shared" si="2"/>
        <v>0.714285714285714</v>
      </c>
      <c r="X11" s="98">
        <f t="shared" si="3"/>
        <v>0</v>
      </c>
      <c r="AF11" s="49">
        <f t="shared" si="4"/>
        <v>0</v>
      </c>
      <c r="BJ11" s="52"/>
      <c r="BK11" s="52"/>
      <c r="BR11" s="52"/>
      <c r="BS11" s="52">
        <f>_xlfn.XLOOKUP(K11,[1]库销表!$F:$F,[1]库销表!$L:$L)</f>
        <v>0</v>
      </c>
      <c r="BT11" s="52">
        <f t="shared" si="5"/>
        <v>0</v>
      </c>
      <c r="BU11" s="49" cm="1">
        <f t="array" ref="BU11:CD11">_xlfn.XLOOKUP(K11,[1]库销表!$F:$F,[1]库销表!$HT:$IC)</f>
        <v>0</v>
      </c>
      <c r="BV11" s="49">
        <v>0</v>
      </c>
      <c r="BW11" s="49">
        <v>0</v>
      </c>
      <c r="BX11" s="49">
        <v>0</v>
      </c>
      <c r="BY11" s="49">
        <v>0</v>
      </c>
      <c r="BZ11" s="49">
        <v>0</v>
      </c>
      <c r="CA11" s="49">
        <v>0</v>
      </c>
      <c r="CB11" s="49">
        <v>0</v>
      </c>
      <c r="CC11" s="49">
        <v>0</v>
      </c>
      <c r="CD11" s="49">
        <v>0</v>
      </c>
      <c r="CW11" s="52">
        <f>_xlfn.XLOOKUP(K11,[1]库销表!$F:$F,[1]库销表!$IE:$IE)</f>
        <v>0</v>
      </c>
      <c r="CX11" s="52">
        <f>_xlfn.XLOOKUP(K11,[1]库销表!$F:$F,[1]库销表!$IF:$IF)</f>
        <v>0</v>
      </c>
      <c r="CY11" s="105">
        <f>_xlfn.XLOOKUP(K11,[1]库销表!$F:$F,[1]库销表!$FL:$FL)</f>
        <v>0</v>
      </c>
      <c r="CZ11" s="52">
        <f>_xlfn.XLOOKUP(K11,数据更新表!E:E,数据更新表!F:F)</f>
        <v>5</v>
      </c>
      <c r="DA11" s="52" t="e">
        <v>#N/A</v>
      </c>
      <c r="DB11" s="52">
        <f>_xlfn.XLOOKUP(K11,数据更新表!E:E,数据更新表!G:G)</f>
        <v>0</v>
      </c>
      <c r="DC11" s="106">
        <f>_xlfn.XLOOKUP(L11,数据更新表!Z:Z,数据更新表!AH:AH)</f>
        <v>4</v>
      </c>
      <c r="DD11" s="49">
        <f>_xlfn.XLOOKUP(L11,数据更新表!Z:Z,数据更新表!AE:AE)</f>
        <v>1</v>
      </c>
      <c r="DE11" s="49">
        <f>_xlfn.XLOOKUP(L11,数据更新表!Z:Z,数据更新表!AF:AF)</f>
        <v>1</v>
      </c>
      <c r="DF11" s="49" t="e">
        <f>_xlfn.XLOOKUP(K11,数据更新表!Z:Z,数据更新表!AG:AG)</f>
        <v>#N/A</v>
      </c>
      <c r="DG11" s="49">
        <f>_xlfn.XLOOKUP(L11,数据更新表!Z:Z,数据更新表!AD:AD)</f>
        <v>36.96</v>
      </c>
      <c r="DH11" s="49">
        <f>_xlfn.XLOOKUP(L11,数据更新表!Z:Z,数据更新表!AA:AA)</f>
        <v>3717</v>
      </c>
      <c r="DI11" s="49">
        <f>_xlfn.XLOOKUP(L11,数据更新表!Z:Z,数据更新表!AB:AB)</f>
        <v>21</v>
      </c>
      <c r="DJ11" s="49" t="str">
        <f>_xlfn.XLOOKUP(L11,数据更新表!Z:Z,数据更新表!AC:AC)</f>
        <v>8.05%</v>
      </c>
      <c r="DK11" s="49" t="str">
        <f>_xlfn.XLOOKUP(L11,数据更新表!Z:Z,数据更新表!AI:AI)</f>
        <v>1.61%</v>
      </c>
      <c r="DL11" s="107" t="s">
        <v>111</v>
      </c>
      <c r="DW11" s="49">
        <v>599</v>
      </c>
      <c r="DX11" s="98">
        <v>599</v>
      </c>
      <c r="DY11" s="98" t="e">
        <f>_xlfn.XLOOKUP(L11,数据更新表!J:J,数据更新表!M:M)</f>
        <v>#N/A</v>
      </c>
      <c r="DZ11" s="98">
        <v>50</v>
      </c>
      <c r="EA11" s="108">
        <f t="shared" si="6"/>
        <v>0.79654050362741</v>
      </c>
      <c r="EB11" s="98">
        <f t="shared" si="7"/>
        <v>130.5</v>
      </c>
      <c r="EC11" s="109">
        <f t="shared" si="8"/>
        <v>140.474388</v>
      </c>
      <c r="ED11" s="108">
        <f t="shared" si="9"/>
        <v>0.234514838063439</v>
      </c>
      <c r="EE11" s="110">
        <f t="shared" si="10"/>
        <v>45.855612</v>
      </c>
      <c r="EF11" s="104" t="str">
        <f t="shared" si="11"/>
        <v>是</v>
      </c>
      <c r="EG11" s="98">
        <f t="shared" si="12"/>
        <v>29.95</v>
      </c>
      <c r="EH11" s="98">
        <f t="shared" si="13"/>
        <v>104.825</v>
      </c>
      <c r="EI11" s="101">
        <f>IF(DX11&lt;=298,IF(DX11&lt;99,25,IF(DX11&lt;=149,30,IF(DX11&lt;=299,37,85))),IF(DX11&lt;=498,_xlfn.XLOOKUP(EQ11,运费表!A:A,运费表!C:C,"重量超限",-1),_xlfn.XLOOKUP(EQ11,运费表!A:A,运费表!D:D,"重量超限",-1)))</f>
        <v>84.5</v>
      </c>
      <c r="EJ11" s="101">
        <f t="shared" si="14"/>
        <v>62.895</v>
      </c>
      <c r="EK11" s="108">
        <v>0.249074910533351</v>
      </c>
      <c r="EL11" s="98">
        <v>1.8</v>
      </c>
      <c r="EM11" s="98">
        <v>60.5</v>
      </c>
      <c r="EN11" s="98">
        <v>11</v>
      </c>
      <c r="EO11" s="98">
        <v>11</v>
      </c>
      <c r="EP11" s="98">
        <f t="shared" si="15"/>
        <v>1.4641</v>
      </c>
      <c r="EQ11" s="98">
        <f t="shared" si="16"/>
        <v>1.8</v>
      </c>
      <c r="ER11" s="98">
        <f t="shared" si="20"/>
        <v>0.0073205</v>
      </c>
      <c r="ES11" s="98">
        <v>50</v>
      </c>
      <c r="ET11" s="112"/>
      <c r="EU11" s="103">
        <f t="shared" si="19"/>
        <v>2500</v>
      </c>
    </row>
    <row r="12" ht="46.25" customHeight="1" spans="1:159">
      <c r="G12" s="98" t="s">
        <v>615</v>
      </c>
      <c r="H12" s="100" t="s">
        <v>616</v>
      </c>
      <c r="J12" s="51" t="s">
        <v>617</v>
      </c>
      <c r="K12" s="100" t="s">
        <v>618</v>
      </c>
      <c r="L12" s="98">
        <v>2423899337</v>
      </c>
      <c r="M12" s="102" t="s">
        <v>97</v>
      </c>
      <c r="N12" s="52" t="e">
        <f>_xlfn.XLOOKUP(L12,数据更新表!J:J,数据更新表!K:K)</f>
        <v>#N/A</v>
      </c>
      <c r="O12" s="52" t="str">
        <f>IFERROR(_xlfn.XLOOKUP(K12,数据更新表!A:A,数据更新表!B:B),"0")</f>
        <v>0</v>
      </c>
      <c r="P12" s="52" t="e">
        <f>_xlfn.XLOOKUP(K12,[1]库销表!$F:$F,[1]库销表!$L:$L)</f>
        <v>#N/A</v>
      </c>
      <c r="Q12" s="103" t="e">
        <f t="shared" si="0"/>
        <v>#N/A</v>
      </c>
      <c r="S12" s="49" t="e">
        <f>_xlfn.XLOOKUP(K12,数据更新表!R:R,数据更新表!S:S)</f>
        <v>#N/A</v>
      </c>
      <c r="T12" s="49" t="e">
        <f>_xlfn.XLOOKUP(K12,数据更新表!V:V,数据更新表!W:W)</f>
        <v>#N/A</v>
      </c>
      <c r="V12" s="104" t="str">
        <f t="shared" si="1"/>
        <v>0</v>
      </c>
      <c r="W12" s="98" t="e">
        <f t="shared" si="2"/>
        <v>#N/A</v>
      </c>
      <c r="X12" s="98" t="e">
        <f t="shared" si="3"/>
        <v>#N/A</v>
      </c>
      <c r="AF12" s="49">
        <f t="shared" si="4"/>
        <v>0</v>
      </c>
      <c r="BR12" s="52"/>
      <c r="BS12" s="52" t="e">
        <f>_xlfn.XLOOKUP(K12,[1]库销表!$F:$F,[1]库销表!$L:$L)</f>
        <v>#N/A</v>
      </c>
      <c r="BT12" s="52" t="e">
        <f t="shared" si="5"/>
        <v>#N/A</v>
      </c>
      <c r="BU12" s="49" t="e" cm="1">
        <f t="array" ref="BU12">_xlfn.XLOOKUP(K12,[1]库销表!$F:$F,[1]库销表!$HT:$IC)</f>
        <v>#N/A</v>
      </c>
      <c r="CW12" s="52" t="e">
        <f>_xlfn.XLOOKUP(K12,[1]库销表!$F:$F,[1]库销表!$IE:$IE)</f>
        <v>#N/A</v>
      </c>
      <c r="CX12" s="52" t="e">
        <f>_xlfn.XLOOKUP(K12,[1]库销表!$F:$F,[1]库销表!$IF:$IF)</f>
        <v>#N/A</v>
      </c>
      <c r="CY12" s="105" t="e">
        <f>_xlfn.XLOOKUP(K12,[1]库销表!$F:$F,[1]库销表!$FL:$FL)</f>
        <v>#N/A</v>
      </c>
      <c r="CZ12" s="52" t="e">
        <f>_xlfn.XLOOKUP(K12,数据更新表!E:E,数据更新表!F:F)</f>
        <v>#N/A</v>
      </c>
      <c r="DA12" s="52" t="e">
        <v>#N/A</v>
      </c>
      <c r="DB12" s="52" t="e">
        <f>_xlfn.XLOOKUP(K12,数据更新表!E:E,数据更新表!G:G)</f>
        <v>#N/A</v>
      </c>
      <c r="DC12" s="106" t="e">
        <f>_xlfn.XLOOKUP(L12,数据更新表!Z:Z,数据更新表!AH:AH)</f>
        <v>#N/A</v>
      </c>
      <c r="DD12" s="49" t="e">
        <f>_xlfn.XLOOKUP(L12,数据更新表!Z:Z,数据更新表!AE:AE)</f>
        <v>#N/A</v>
      </c>
      <c r="DE12" s="49" t="e">
        <f>_xlfn.XLOOKUP(L12,数据更新表!Z:Z,数据更新表!AF:AF)</f>
        <v>#N/A</v>
      </c>
      <c r="DF12" s="49" t="e">
        <f>_xlfn.XLOOKUP(K12,数据更新表!Z:Z,数据更新表!AG:AG)</f>
        <v>#N/A</v>
      </c>
      <c r="DG12" s="49" t="e">
        <f>_xlfn.XLOOKUP(L12,数据更新表!Z:Z,数据更新表!AD:AD)</f>
        <v>#N/A</v>
      </c>
      <c r="DH12" s="49" t="e">
        <f>_xlfn.XLOOKUP(L12,数据更新表!Z:Z,数据更新表!AA:AA)</f>
        <v>#N/A</v>
      </c>
      <c r="DI12" s="49" t="e">
        <f>_xlfn.XLOOKUP(L12,数据更新表!Z:Z,数据更新表!AB:AB)</f>
        <v>#N/A</v>
      </c>
      <c r="DJ12" s="49" t="e">
        <f>_xlfn.XLOOKUP(L12,数据更新表!Z:Z,数据更新表!AC:AC)</f>
        <v>#N/A</v>
      </c>
      <c r="DK12" s="49" t="e">
        <f>_xlfn.XLOOKUP(L12,数据更新表!Z:Z,数据更新表!AI:AI)</f>
        <v>#N/A</v>
      </c>
      <c r="DL12" s="107" t="s">
        <v>111</v>
      </c>
      <c r="DX12" s="98" t="e">
        <f>_xlfn.XLOOKUP(L12,数据更新表!J:J,数据更新表!L:L)</f>
        <v>#N/A</v>
      </c>
      <c r="DY12" s="98" t="e">
        <f>_xlfn.XLOOKUP(L12,数据更新表!J:J,数据更新表!M:M)</f>
        <v>#N/A</v>
      </c>
      <c r="DZ12" s="98">
        <v>13.3</v>
      </c>
      <c r="EB12" s="98">
        <f t="shared" si="7"/>
        <v>34.713</v>
      </c>
      <c r="EC12" s="109" t="e">
        <f t="shared" si="8"/>
        <v>#N/A</v>
      </c>
      <c r="ED12" s="108" t="e">
        <f t="shared" si="9"/>
        <v>#N/A</v>
      </c>
      <c r="EE12" s="110">
        <f t="shared" si="10"/>
        <v>0</v>
      </c>
      <c r="EF12" s="104" t="e">
        <f t="shared" si="11"/>
        <v>#N/A</v>
      </c>
      <c r="EG12" s="98" t="e">
        <f t="shared" si="12"/>
        <v>#N/A</v>
      </c>
      <c r="EH12" s="98" t="e">
        <f t="shared" si="13"/>
        <v>#N/A</v>
      </c>
      <c r="EI12" s="101" t="e">
        <f>IF(DX12&lt;=298,IF(DX12&lt;99,25,IF(DX12&lt;=149,30,IF(DX12&lt;=299,37,85))),IF(DX12&lt;=498,_xlfn.XLOOKUP(EQ12,运费表!A:A,运费表!C:C,"重量超限",-1),_xlfn.XLOOKUP(EQ12,运费表!A:A,运费表!D:D,"重量超限",-1)))</f>
        <v>#N/A</v>
      </c>
      <c r="EJ12" s="101" t="e">
        <f t="shared" si="14"/>
        <v>#N/A</v>
      </c>
      <c r="EK12" s="115">
        <v>0.158685714285714</v>
      </c>
    </row>
    <row r="13" ht="46.25" customHeight="1" spans="1:159">
      <c r="G13" s="98" t="s">
        <v>615</v>
      </c>
      <c r="H13" s="100" t="s">
        <v>619</v>
      </c>
      <c r="J13" s="51" t="s">
        <v>617</v>
      </c>
      <c r="K13" s="100" t="s">
        <v>620</v>
      </c>
      <c r="L13" s="98">
        <v>2423899337</v>
      </c>
      <c r="M13" s="102" t="s">
        <v>97</v>
      </c>
      <c r="N13" s="52" t="e">
        <f>_xlfn.XLOOKUP(L13,数据更新表!J:J,数据更新表!K:K)</f>
        <v>#N/A</v>
      </c>
      <c r="O13" s="52" t="str">
        <f>IFERROR(_xlfn.XLOOKUP(K13,数据更新表!A:A,数据更新表!B:B),"0")</f>
        <v>0</v>
      </c>
      <c r="P13" s="52" t="e">
        <f>_xlfn.XLOOKUP(K13,[1]库销表!$F:$F,[1]库销表!$L:$L)</f>
        <v>#N/A</v>
      </c>
      <c r="Q13" s="103" t="e">
        <f t="shared" si="0"/>
        <v>#N/A</v>
      </c>
      <c r="S13" s="49" t="e">
        <f>_xlfn.XLOOKUP(K13,数据更新表!R:R,数据更新表!S:S)</f>
        <v>#N/A</v>
      </c>
      <c r="T13" s="49" t="e">
        <f>_xlfn.XLOOKUP(K13,数据更新表!V:V,数据更新表!W:W)</f>
        <v>#N/A</v>
      </c>
      <c r="V13" s="104" t="str">
        <f t="shared" si="1"/>
        <v>0</v>
      </c>
      <c r="W13" s="98" t="e">
        <f t="shared" si="2"/>
        <v>#N/A</v>
      </c>
      <c r="X13" s="98" t="e">
        <f t="shared" si="3"/>
        <v>#N/A</v>
      </c>
      <c r="AF13" s="49">
        <f t="shared" si="4"/>
        <v>0</v>
      </c>
      <c r="BR13" s="52"/>
      <c r="BS13" s="52" t="e">
        <f>_xlfn.XLOOKUP(K13,[1]库销表!$F:$F,[1]库销表!$L:$L)</f>
        <v>#N/A</v>
      </c>
      <c r="BT13" s="52" t="e">
        <f t="shared" si="5"/>
        <v>#N/A</v>
      </c>
      <c r="BU13" s="49" t="e" cm="1">
        <f t="array" ref="BU13">_xlfn.XLOOKUP(K13,[1]库销表!$F:$F,[1]库销表!$HT:$IC)</f>
        <v>#N/A</v>
      </c>
      <c r="CW13" s="52" t="e">
        <f>_xlfn.XLOOKUP(K13,[1]库销表!$F:$F,[1]库销表!$IE:$IE)</f>
        <v>#N/A</v>
      </c>
      <c r="CX13" s="52" t="e">
        <f>_xlfn.XLOOKUP(K13,[1]库销表!$F:$F,[1]库销表!$IF:$IF)</f>
        <v>#N/A</v>
      </c>
      <c r="CY13" s="105" t="e">
        <f>_xlfn.XLOOKUP(K13,[1]库销表!$F:$F,[1]库销表!$FL:$FL)</f>
        <v>#N/A</v>
      </c>
      <c r="CZ13" s="52" t="e">
        <f>_xlfn.XLOOKUP(K13,数据更新表!E:E,数据更新表!F:F)</f>
        <v>#N/A</v>
      </c>
      <c r="DA13" s="52" t="e">
        <v>#N/A</v>
      </c>
      <c r="DB13" s="52" t="e">
        <f>_xlfn.XLOOKUP(K13,数据更新表!E:E,数据更新表!G:G)</f>
        <v>#N/A</v>
      </c>
      <c r="DC13" s="106" t="e">
        <f>_xlfn.XLOOKUP(L13,数据更新表!Z:Z,数据更新表!AH:AH)</f>
        <v>#N/A</v>
      </c>
      <c r="DD13" s="49" t="e">
        <f>_xlfn.XLOOKUP(L13,数据更新表!Z:Z,数据更新表!AE:AE)</f>
        <v>#N/A</v>
      </c>
      <c r="DE13" s="49" t="e">
        <f>_xlfn.XLOOKUP(L13,数据更新表!Z:Z,数据更新表!AF:AF)</f>
        <v>#N/A</v>
      </c>
      <c r="DF13" s="49" t="e">
        <f>_xlfn.XLOOKUP(K13,数据更新表!Z:Z,数据更新表!AG:AG)</f>
        <v>#N/A</v>
      </c>
      <c r="DG13" s="49" t="e">
        <f>_xlfn.XLOOKUP(L13,数据更新表!Z:Z,数据更新表!AD:AD)</f>
        <v>#N/A</v>
      </c>
      <c r="DH13" s="49" t="e">
        <f>_xlfn.XLOOKUP(L13,数据更新表!Z:Z,数据更新表!AA:AA)</f>
        <v>#N/A</v>
      </c>
      <c r="DI13" s="49" t="e">
        <f>_xlfn.XLOOKUP(L13,数据更新表!Z:Z,数据更新表!AB:AB)</f>
        <v>#N/A</v>
      </c>
      <c r="DJ13" s="49" t="e">
        <f>_xlfn.XLOOKUP(L13,数据更新表!Z:Z,数据更新表!AC:AC)</f>
        <v>#N/A</v>
      </c>
      <c r="DK13" s="49" t="e">
        <f>_xlfn.XLOOKUP(L13,数据更新表!Z:Z,数据更新表!AI:AI)</f>
        <v>#N/A</v>
      </c>
      <c r="DL13" s="107" t="s">
        <v>111</v>
      </c>
      <c r="DX13" s="98" t="e">
        <f>_xlfn.XLOOKUP(L13,数据更新表!J:J,数据更新表!L:L)</f>
        <v>#N/A</v>
      </c>
      <c r="DY13" s="98" t="e">
        <f>_xlfn.XLOOKUP(L13,数据更新表!J:J,数据更新表!M:M)</f>
        <v>#N/A</v>
      </c>
      <c r="DZ13" s="98">
        <v>13.3</v>
      </c>
      <c r="EB13" s="98">
        <f t="shared" si="7"/>
        <v>34.713</v>
      </c>
      <c r="EC13" s="109" t="e">
        <f t="shared" si="8"/>
        <v>#N/A</v>
      </c>
      <c r="ED13" s="108" t="e">
        <f t="shared" si="9"/>
        <v>#N/A</v>
      </c>
      <c r="EE13" s="110">
        <f t="shared" si="10"/>
        <v>0</v>
      </c>
      <c r="EF13" s="104" t="e">
        <f t="shared" si="11"/>
        <v>#N/A</v>
      </c>
      <c r="EG13" s="98" t="e">
        <f t="shared" si="12"/>
        <v>#N/A</v>
      </c>
      <c r="EH13" s="98" t="e">
        <f t="shared" si="13"/>
        <v>#N/A</v>
      </c>
      <c r="EI13" s="101" t="e">
        <f>IF(DX13&lt;=298,IF(DX13&lt;99,25,IF(DX13&lt;=149,30,IF(DX13&lt;=299,37,85))),IF(DX13&lt;=498,_xlfn.XLOOKUP(EQ13,运费表!A:A,运费表!C:C,"重量超限",-1),_xlfn.XLOOKUP(EQ13,运费表!A:A,运费表!D:D,"重量超限",-1)))</f>
        <v>#N/A</v>
      </c>
      <c r="EJ13" s="101" t="e">
        <f t="shared" si="14"/>
        <v>#N/A</v>
      </c>
      <c r="EK13" s="115">
        <v>0.158685714285714</v>
      </c>
    </row>
    <row r="14" ht="46.25" customHeight="1" spans="1:159">
      <c r="G14" s="98" t="s">
        <v>615</v>
      </c>
      <c r="H14" s="100" t="s">
        <v>621</v>
      </c>
      <c r="J14" s="51" t="s">
        <v>617</v>
      </c>
      <c r="K14" s="100" t="s">
        <v>622</v>
      </c>
      <c r="L14" s="98">
        <v>2423899337</v>
      </c>
      <c r="M14" s="102" t="s">
        <v>97</v>
      </c>
      <c r="N14" s="52" t="e">
        <f>_xlfn.XLOOKUP(L14,数据更新表!J:J,数据更新表!K:K)</f>
        <v>#N/A</v>
      </c>
      <c r="O14" s="52" t="str">
        <f>IFERROR(_xlfn.XLOOKUP(K14,数据更新表!A:A,数据更新表!B:B),"0")</f>
        <v>0</v>
      </c>
      <c r="P14" s="52" t="e">
        <f>_xlfn.XLOOKUP(K14,[1]库销表!$F:$F,[1]库销表!$L:$L)</f>
        <v>#N/A</v>
      </c>
      <c r="Q14" s="103" t="e">
        <f t="shared" si="0"/>
        <v>#N/A</v>
      </c>
      <c r="S14" s="49" t="e">
        <f>_xlfn.XLOOKUP(K14,数据更新表!R:R,数据更新表!S:S)</f>
        <v>#N/A</v>
      </c>
      <c r="T14" s="49" t="e">
        <f>_xlfn.XLOOKUP(K14,数据更新表!V:V,数据更新表!W:W)</f>
        <v>#N/A</v>
      </c>
      <c r="V14" s="104" t="str">
        <f t="shared" si="1"/>
        <v>0</v>
      </c>
      <c r="W14" s="98" t="e">
        <f t="shared" si="2"/>
        <v>#N/A</v>
      </c>
      <c r="X14" s="98" t="e">
        <f t="shared" si="3"/>
        <v>#N/A</v>
      </c>
      <c r="AF14" s="49">
        <f t="shared" si="4"/>
        <v>0</v>
      </c>
      <c r="BR14" s="52"/>
      <c r="BS14" s="52" t="e">
        <f>_xlfn.XLOOKUP(K14,[1]库销表!$F:$F,[1]库销表!$L:$L)</f>
        <v>#N/A</v>
      </c>
      <c r="BT14" s="52" t="e">
        <f t="shared" si="5"/>
        <v>#N/A</v>
      </c>
      <c r="BU14" s="49" t="e" cm="1">
        <f t="array" ref="BU14">_xlfn.XLOOKUP(K14,[1]库销表!$F:$F,[1]库销表!$HT:$IC)</f>
        <v>#N/A</v>
      </c>
      <c r="CW14" s="52" t="e">
        <f>_xlfn.XLOOKUP(K14,[1]库销表!$F:$F,[1]库销表!$IE:$IE)</f>
        <v>#N/A</v>
      </c>
      <c r="CX14" s="52" t="e">
        <f>_xlfn.XLOOKUP(K14,[1]库销表!$F:$F,[1]库销表!$IF:$IF)</f>
        <v>#N/A</v>
      </c>
      <c r="CY14" s="105" t="e">
        <f>_xlfn.XLOOKUP(K14,[1]库销表!$F:$F,[1]库销表!$FL:$FL)</f>
        <v>#N/A</v>
      </c>
      <c r="CZ14" s="52" t="e">
        <f>_xlfn.XLOOKUP(K14,数据更新表!E:E,数据更新表!F:F)</f>
        <v>#N/A</v>
      </c>
      <c r="DA14" s="52" t="e">
        <v>#N/A</v>
      </c>
      <c r="DB14" s="52" t="e">
        <f>_xlfn.XLOOKUP(K14,数据更新表!E:E,数据更新表!G:G)</f>
        <v>#N/A</v>
      </c>
      <c r="DC14" s="106" t="e">
        <f>_xlfn.XLOOKUP(L14,数据更新表!Z:Z,数据更新表!AH:AH)</f>
        <v>#N/A</v>
      </c>
      <c r="DD14" s="49" t="e">
        <f>_xlfn.XLOOKUP(L14,数据更新表!Z:Z,数据更新表!AE:AE)</f>
        <v>#N/A</v>
      </c>
      <c r="DE14" s="49" t="e">
        <f>_xlfn.XLOOKUP(L14,数据更新表!Z:Z,数据更新表!AF:AF)</f>
        <v>#N/A</v>
      </c>
      <c r="DF14" s="49" t="e">
        <f>_xlfn.XLOOKUP(K14,数据更新表!Z:Z,数据更新表!AG:AG)</f>
        <v>#N/A</v>
      </c>
      <c r="DG14" s="49" t="e">
        <f>_xlfn.XLOOKUP(L14,数据更新表!Z:Z,数据更新表!AD:AD)</f>
        <v>#N/A</v>
      </c>
      <c r="DH14" s="49" t="e">
        <f>_xlfn.XLOOKUP(L14,数据更新表!Z:Z,数据更新表!AA:AA)</f>
        <v>#N/A</v>
      </c>
      <c r="DI14" s="49" t="e">
        <f>_xlfn.XLOOKUP(L14,数据更新表!Z:Z,数据更新表!AB:AB)</f>
        <v>#N/A</v>
      </c>
      <c r="DJ14" s="49" t="e">
        <f>_xlfn.XLOOKUP(L14,数据更新表!Z:Z,数据更新表!AC:AC)</f>
        <v>#N/A</v>
      </c>
      <c r="DK14" s="49" t="e">
        <f>_xlfn.XLOOKUP(L14,数据更新表!Z:Z,数据更新表!AI:AI)</f>
        <v>#N/A</v>
      </c>
      <c r="DL14" s="107" t="s">
        <v>111</v>
      </c>
      <c r="DX14" s="98" t="e">
        <f>_xlfn.XLOOKUP(L14,数据更新表!J:J,数据更新表!L:L)</f>
        <v>#N/A</v>
      </c>
      <c r="DY14" s="98" t="e">
        <f>_xlfn.XLOOKUP(L14,数据更新表!J:J,数据更新表!M:M)</f>
        <v>#N/A</v>
      </c>
      <c r="DZ14" s="98">
        <v>13.3</v>
      </c>
      <c r="EB14" s="98">
        <f t="shared" si="7"/>
        <v>34.713</v>
      </c>
      <c r="EC14" s="109" t="e">
        <f t="shared" si="8"/>
        <v>#N/A</v>
      </c>
      <c r="ED14" s="108" t="e">
        <f t="shared" si="9"/>
        <v>#N/A</v>
      </c>
      <c r="EE14" s="110">
        <f t="shared" si="10"/>
        <v>0</v>
      </c>
      <c r="EF14" s="104" t="e">
        <f t="shared" si="11"/>
        <v>#N/A</v>
      </c>
      <c r="EG14" s="98" t="e">
        <f t="shared" si="12"/>
        <v>#N/A</v>
      </c>
      <c r="EH14" s="98" t="e">
        <f t="shared" si="13"/>
        <v>#N/A</v>
      </c>
      <c r="EI14" s="101" t="e">
        <f>IF(DX14&lt;=298,IF(DX14&lt;99,25,IF(DX14&lt;=149,30,IF(DX14&lt;=299,37,85))),IF(DX14&lt;=498,_xlfn.XLOOKUP(EQ14,运费表!A:A,运费表!C:C,"重量超限",-1),_xlfn.XLOOKUP(EQ14,运费表!A:A,运费表!D:D,"重量超限",-1)))</f>
        <v>#N/A</v>
      </c>
      <c r="EJ14" s="101" t="e">
        <f t="shared" si="14"/>
        <v>#N/A</v>
      </c>
      <c r="EK14" s="115">
        <v>0.158685714285714</v>
      </c>
    </row>
    <row r="15" ht="46.25" customHeight="1" spans="1:159">
      <c r="G15" s="98" t="s">
        <v>623</v>
      </c>
      <c r="H15" s="116" t="s">
        <v>624</v>
      </c>
      <c r="J15" s="51" t="s">
        <v>625</v>
      </c>
      <c r="K15" s="116" t="s">
        <v>626</v>
      </c>
      <c r="L15" s="98">
        <v>2424303113</v>
      </c>
      <c r="M15" s="102" t="s">
        <v>97</v>
      </c>
      <c r="N15" s="52" t="e">
        <f>_xlfn.XLOOKUP(L15,数据更新表!J:J,数据更新表!K:K)</f>
        <v>#N/A</v>
      </c>
      <c r="O15" s="52" t="str">
        <f>IFERROR(_xlfn.XLOOKUP(K15,数据更新表!A:A,数据更新表!B:B),"0")</f>
        <v>0</v>
      </c>
      <c r="P15" s="52" t="e">
        <f>_xlfn.XLOOKUP(K15,[1]库销表!$F:$F,[1]库销表!$L:$L)</f>
        <v>#N/A</v>
      </c>
      <c r="Q15" s="103" t="e">
        <f t="shared" si="0"/>
        <v>#N/A</v>
      </c>
      <c r="S15" s="49" t="e">
        <f>_xlfn.XLOOKUP(K15,数据更新表!R:R,数据更新表!S:S)</f>
        <v>#N/A</v>
      </c>
      <c r="T15" s="49" t="e">
        <f>_xlfn.XLOOKUP(K15,数据更新表!V:V,数据更新表!W:W)</f>
        <v>#N/A</v>
      </c>
      <c r="V15" s="104" t="str">
        <f t="shared" si="1"/>
        <v>0</v>
      </c>
      <c r="W15" s="98" t="e">
        <f t="shared" si="2"/>
        <v>#N/A</v>
      </c>
      <c r="X15" s="98" t="e">
        <f t="shared" si="3"/>
        <v>#N/A</v>
      </c>
      <c r="AF15" s="49">
        <f t="shared" si="4"/>
        <v>0</v>
      </c>
      <c r="BR15" s="52"/>
      <c r="BS15" s="52" t="e">
        <f>_xlfn.XLOOKUP(K15,[1]库销表!$F:$F,[1]库销表!$L:$L)</f>
        <v>#N/A</v>
      </c>
      <c r="BT15" s="52" t="e">
        <f t="shared" si="5"/>
        <v>#N/A</v>
      </c>
      <c r="BU15" s="49" t="e" cm="1">
        <f t="array" ref="BU15">_xlfn.XLOOKUP(K15,[1]库销表!$F:$F,[1]库销表!$HT:$IC)</f>
        <v>#N/A</v>
      </c>
      <c r="CW15" s="52" t="e">
        <f>_xlfn.XLOOKUP(K15,[1]库销表!$F:$F,[1]库销表!$IE:$IE)</f>
        <v>#N/A</v>
      </c>
      <c r="CX15" s="52" t="e">
        <f>_xlfn.XLOOKUP(K15,[1]库销表!$F:$F,[1]库销表!$IF:$IF)</f>
        <v>#N/A</v>
      </c>
      <c r="CY15" s="105" t="e">
        <f>_xlfn.XLOOKUP(K15,[1]库销表!$F:$F,[1]库销表!$FL:$FL)</f>
        <v>#N/A</v>
      </c>
      <c r="CZ15" s="52" t="e">
        <f>_xlfn.XLOOKUP(K15,数据更新表!E:E,数据更新表!F:F)</f>
        <v>#N/A</v>
      </c>
      <c r="DA15" s="52" t="s">
        <v>627</v>
      </c>
      <c r="DB15" s="52" t="e">
        <f>_xlfn.XLOOKUP(K15,数据更新表!E:E,数据更新表!G:G)</f>
        <v>#N/A</v>
      </c>
      <c r="DC15" s="106" t="e">
        <f>_xlfn.XLOOKUP(L15,数据更新表!Z:Z,数据更新表!AH:AH)</f>
        <v>#N/A</v>
      </c>
      <c r="DD15" s="49" t="e">
        <f>_xlfn.XLOOKUP(L15,数据更新表!Z:Z,数据更新表!AE:AE)</f>
        <v>#N/A</v>
      </c>
      <c r="DE15" s="49" t="e">
        <f>_xlfn.XLOOKUP(L15,数据更新表!Z:Z,数据更新表!AF:AF)</f>
        <v>#N/A</v>
      </c>
      <c r="DF15" s="49" t="e">
        <f>_xlfn.XLOOKUP(K15,数据更新表!Z:Z,数据更新表!AG:AG)</f>
        <v>#N/A</v>
      </c>
      <c r="DG15" s="49" t="e">
        <f>_xlfn.XLOOKUP(L15,数据更新表!Z:Z,数据更新表!AD:AD)</f>
        <v>#N/A</v>
      </c>
      <c r="DH15" s="49" t="e">
        <f>_xlfn.XLOOKUP(L15,数据更新表!Z:Z,数据更新表!AA:AA)</f>
        <v>#N/A</v>
      </c>
      <c r="DI15" s="49" t="e">
        <f>_xlfn.XLOOKUP(L15,数据更新表!Z:Z,数据更新表!AB:AB)</f>
        <v>#N/A</v>
      </c>
      <c r="DJ15" s="49" t="e">
        <f>_xlfn.XLOOKUP(L15,数据更新表!Z:Z,数据更新表!AC:AC)</f>
        <v>#N/A</v>
      </c>
      <c r="DK15" s="49" t="e">
        <f>_xlfn.XLOOKUP(L15,数据更新表!Z:Z,数据更新表!AI:AI)</f>
        <v>#N/A</v>
      </c>
      <c r="DL15" s="107" t="s">
        <v>111</v>
      </c>
      <c r="DX15" s="98" t="e">
        <f>_xlfn.XLOOKUP(L15,数据更新表!J:J,数据更新表!L:L)</f>
        <v>#N/A</v>
      </c>
      <c r="DY15" s="98" t="e">
        <f>_xlfn.XLOOKUP(L15,数据更新表!J:J,数据更新表!M:M)</f>
        <v>#N/A</v>
      </c>
      <c r="DZ15" s="98">
        <v>6.6</v>
      </c>
      <c r="EB15" s="98">
        <f t="shared" si="7"/>
        <v>17.226</v>
      </c>
      <c r="EC15" s="109" t="e">
        <f t="shared" si="8"/>
        <v>#N/A</v>
      </c>
      <c r="ED15" s="108" t="e">
        <f t="shared" si="9"/>
        <v>#N/A</v>
      </c>
      <c r="EE15" s="110">
        <f t="shared" si="10"/>
        <v>0</v>
      </c>
      <c r="EF15" s="104" t="e">
        <f t="shared" si="11"/>
        <v>#N/A</v>
      </c>
      <c r="EG15" s="98" t="e">
        <f t="shared" si="12"/>
        <v>#N/A</v>
      </c>
      <c r="EH15" s="98" t="e">
        <f t="shared" si="13"/>
        <v>#N/A</v>
      </c>
      <c r="EI15" s="101" t="e">
        <f>IF(DX15&lt;=298,IF(DX15&lt;99,25,IF(DX15&lt;=149,30,IF(DX15&lt;=299,37,85))),IF(DX15&lt;=498,_xlfn.XLOOKUP(EQ15,运费表!A:A,运费表!C:C,"重量超限",-1),_xlfn.XLOOKUP(EQ15,运费表!A:A,运费表!D:D,"重量超限",-1)))</f>
        <v>#N/A</v>
      </c>
      <c r="EJ15" s="101" t="e">
        <f t="shared" si="14"/>
        <v>#N/A</v>
      </c>
      <c r="EK15" s="115">
        <v>0.211986666666667</v>
      </c>
    </row>
    <row r="16" ht="46.25" customHeight="1" spans="1:159">
      <c r="G16" s="98" t="s">
        <v>623</v>
      </c>
      <c r="H16" s="116" t="s">
        <v>628</v>
      </c>
      <c r="J16" s="51" t="s">
        <v>625</v>
      </c>
      <c r="K16" s="116" t="s">
        <v>629</v>
      </c>
      <c r="L16" s="98">
        <v>2424303113</v>
      </c>
      <c r="M16" s="102" t="s">
        <v>97</v>
      </c>
      <c r="N16" s="52" t="e">
        <f>_xlfn.XLOOKUP(L16,数据更新表!J:J,数据更新表!K:K)</f>
        <v>#N/A</v>
      </c>
      <c r="O16" s="52" t="str">
        <f>IFERROR(_xlfn.XLOOKUP(K16,数据更新表!A:A,数据更新表!B:B),"0")</f>
        <v>0</v>
      </c>
      <c r="P16" s="52" t="e">
        <f>_xlfn.XLOOKUP(K16,[1]库销表!$F:$F,[1]库销表!$L:$L)</f>
        <v>#N/A</v>
      </c>
      <c r="Q16" s="103" t="e">
        <f t="shared" si="0"/>
        <v>#N/A</v>
      </c>
      <c r="S16" s="49" t="e">
        <f>_xlfn.XLOOKUP(K16,数据更新表!R:R,数据更新表!S:S)</f>
        <v>#N/A</v>
      </c>
      <c r="T16" s="49" t="e">
        <f>_xlfn.XLOOKUP(K16,数据更新表!V:V,数据更新表!W:W)</f>
        <v>#N/A</v>
      </c>
      <c r="V16" s="104" t="str">
        <f t="shared" si="1"/>
        <v>0</v>
      </c>
      <c r="W16" s="98" t="e">
        <f t="shared" si="2"/>
        <v>#N/A</v>
      </c>
      <c r="X16" s="98" t="e">
        <f t="shared" si="3"/>
        <v>#N/A</v>
      </c>
      <c r="AF16" s="49">
        <f t="shared" si="4"/>
        <v>0</v>
      </c>
      <c r="BR16" s="52"/>
      <c r="BS16" s="52" t="e">
        <f>_xlfn.XLOOKUP(K16,[1]库销表!$F:$F,[1]库销表!$L:$L)</f>
        <v>#N/A</v>
      </c>
      <c r="BT16" s="52" t="e">
        <f t="shared" si="5"/>
        <v>#N/A</v>
      </c>
      <c r="BU16" s="49" t="e" cm="1">
        <f t="array" ref="BU16">_xlfn.XLOOKUP(K16,[1]库销表!$F:$F,[1]库销表!$HT:$IC)</f>
        <v>#N/A</v>
      </c>
      <c r="CW16" s="52" t="e">
        <f>_xlfn.XLOOKUP(K16,[1]库销表!$F:$F,[1]库销表!$IE:$IE)</f>
        <v>#N/A</v>
      </c>
      <c r="CX16" s="52" t="e">
        <f>_xlfn.XLOOKUP(K16,[1]库销表!$F:$F,[1]库销表!$IF:$IF)</f>
        <v>#N/A</v>
      </c>
      <c r="CY16" s="105" t="e">
        <f>_xlfn.XLOOKUP(K16,[1]库销表!$F:$F,[1]库销表!$FL:$FL)</f>
        <v>#N/A</v>
      </c>
      <c r="CZ16" s="52" t="e">
        <f>_xlfn.XLOOKUP(K16,数据更新表!E:E,数据更新表!F:F)</f>
        <v>#N/A</v>
      </c>
      <c r="DA16" s="52" t="e">
        <v>#N/A</v>
      </c>
      <c r="DB16" s="52" t="e">
        <f>_xlfn.XLOOKUP(K16,数据更新表!E:E,数据更新表!G:G)</f>
        <v>#N/A</v>
      </c>
      <c r="DC16" s="106" t="e">
        <f>_xlfn.XLOOKUP(L16,数据更新表!Z:Z,数据更新表!AH:AH)</f>
        <v>#N/A</v>
      </c>
      <c r="DD16" s="49" t="e">
        <f>_xlfn.XLOOKUP(L16,数据更新表!Z:Z,数据更新表!AE:AE)</f>
        <v>#N/A</v>
      </c>
      <c r="DE16" s="49" t="e">
        <f>_xlfn.XLOOKUP(L16,数据更新表!Z:Z,数据更新表!AF:AF)</f>
        <v>#N/A</v>
      </c>
      <c r="DF16" s="49" t="e">
        <f>_xlfn.XLOOKUP(K16,数据更新表!Z:Z,数据更新表!AG:AG)</f>
        <v>#N/A</v>
      </c>
      <c r="DG16" s="49" t="e">
        <f>_xlfn.XLOOKUP(L16,数据更新表!Z:Z,数据更新表!AD:AD)</f>
        <v>#N/A</v>
      </c>
      <c r="DH16" s="49" t="e">
        <f>_xlfn.XLOOKUP(L16,数据更新表!Z:Z,数据更新表!AA:AA)</f>
        <v>#N/A</v>
      </c>
      <c r="DI16" s="49" t="e">
        <f>_xlfn.XLOOKUP(L16,数据更新表!Z:Z,数据更新表!AB:AB)</f>
        <v>#N/A</v>
      </c>
      <c r="DJ16" s="49" t="e">
        <f>_xlfn.XLOOKUP(L16,数据更新表!Z:Z,数据更新表!AC:AC)</f>
        <v>#N/A</v>
      </c>
      <c r="DK16" s="49" t="e">
        <f>_xlfn.XLOOKUP(L16,数据更新表!Z:Z,数据更新表!AI:AI)</f>
        <v>#N/A</v>
      </c>
      <c r="DL16" s="107" t="s">
        <v>111</v>
      </c>
      <c r="DX16" s="98" t="e">
        <f>_xlfn.XLOOKUP(L16,数据更新表!J:J,数据更新表!L:L)</f>
        <v>#N/A</v>
      </c>
      <c r="DY16" s="98" t="e">
        <f>_xlfn.XLOOKUP(L16,数据更新表!J:J,数据更新表!M:M)</f>
        <v>#N/A</v>
      </c>
      <c r="DZ16" s="98">
        <v>6.6</v>
      </c>
      <c r="EB16" s="98">
        <f t="shared" si="7"/>
        <v>17.226</v>
      </c>
      <c r="EC16" s="109" t="e">
        <f t="shared" si="8"/>
        <v>#N/A</v>
      </c>
      <c r="ED16" s="108" t="e">
        <f t="shared" si="9"/>
        <v>#N/A</v>
      </c>
      <c r="EE16" s="110">
        <f t="shared" si="10"/>
        <v>0</v>
      </c>
      <c r="EF16" s="104" t="e">
        <f t="shared" si="11"/>
        <v>#N/A</v>
      </c>
      <c r="EG16" s="98" t="e">
        <f t="shared" si="12"/>
        <v>#N/A</v>
      </c>
      <c r="EH16" s="98" t="e">
        <f t="shared" si="13"/>
        <v>#N/A</v>
      </c>
      <c r="EI16" s="101" t="e">
        <f>IF(DX16&lt;=298,IF(DX16&lt;99,25,IF(DX16&lt;=149,30,IF(DX16&lt;=299,37,85))),IF(DX16&lt;=498,_xlfn.XLOOKUP(EQ16,运费表!A:A,运费表!C:C,"重量超限",-1),_xlfn.XLOOKUP(EQ16,运费表!A:A,运费表!D:D,"重量超限",-1)))</f>
        <v>#N/A</v>
      </c>
      <c r="EJ16" s="101" t="e">
        <f t="shared" si="14"/>
        <v>#N/A</v>
      </c>
      <c r="EK16" s="115">
        <v>0.211986666666667</v>
      </c>
    </row>
    <row r="17" ht="46.25" customHeight="1" spans="2:148">
      <c r="G17" s="98" t="s">
        <v>623</v>
      </c>
      <c r="H17" s="100" t="s">
        <v>630</v>
      </c>
      <c r="J17" s="51" t="s">
        <v>625</v>
      </c>
      <c r="K17" s="100" t="s">
        <v>631</v>
      </c>
      <c r="L17" s="98">
        <v>2424303113</v>
      </c>
      <c r="M17" s="102" t="s">
        <v>97</v>
      </c>
      <c r="N17" s="52" t="e">
        <f>_xlfn.XLOOKUP(L17,数据更新表!J:J,数据更新表!K:K)</f>
        <v>#N/A</v>
      </c>
      <c r="O17" s="52" t="str">
        <f>IFERROR(_xlfn.XLOOKUP(K17,数据更新表!A:A,数据更新表!B:B),"0")</f>
        <v>0</v>
      </c>
      <c r="P17" s="52" t="e">
        <f>_xlfn.XLOOKUP(K17,[1]库销表!$F:$F,[1]库销表!$L:$L)</f>
        <v>#N/A</v>
      </c>
      <c r="Q17" s="103" t="e">
        <f t="shared" si="0"/>
        <v>#N/A</v>
      </c>
      <c r="S17" s="49" t="e">
        <f>_xlfn.XLOOKUP(K17,数据更新表!R:R,数据更新表!S:S)</f>
        <v>#N/A</v>
      </c>
      <c r="T17" s="49" t="e">
        <f>_xlfn.XLOOKUP(K17,数据更新表!V:V,数据更新表!W:W)</f>
        <v>#N/A</v>
      </c>
      <c r="V17" s="104" t="str">
        <f t="shared" si="1"/>
        <v>0</v>
      </c>
      <c r="W17" s="98" t="e">
        <f t="shared" si="2"/>
        <v>#N/A</v>
      </c>
      <c r="X17" s="98" t="e">
        <f t="shared" si="3"/>
        <v>#N/A</v>
      </c>
      <c r="AF17" s="49">
        <f t="shared" si="4"/>
        <v>0</v>
      </c>
      <c r="BR17" s="52"/>
      <c r="BS17" s="52" t="e">
        <f>_xlfn.XLOOKUP(K17,[1]库销表!$F:$F,[1]库销表!$L:$L)</f>
        <v>#N/A</v>
      </c>
      <c r="BT17" s="52" t="e">
        <f t="shared" si="5"/>
        <v>#N/A</v>
      </c>
      <c r="BU17" s="49" t="e" cm="1">
        <f t="array" ref="BU17">_xlfn.XLOOKUP(K17,[1]库销表!$F:$F,[1]库销表!$HT:$IC)</f>
        <v>#N/A</v>
      </c>
      <c r="CW17" s="52" t="e">
        <f>_xlfn.XLOOKUP(K17,[1]库销表!$F:$F,[1]库销表!$IE:$IE)</f>
        <v>#N/A</v>
      </c>
      <c r="CX17" s="52" t="e">
        <f>_xlfn.XLOOKUP(K17,[1]库销表!$F:$F,[1]库销表!$IF:$IF)</f>
        <v>#N/A</v>
      </c>
      <c r="CY17" s="105" t="e">
        <f>_xlfn.XLOOKUP(K17,[1]库销表!$F:$F,[1]库销表!$FL:$FL)</f>
        <v>#N/A</v>
      </c>
      <c r="CZ17" s="52" t="e">
        <f>_xlfn.XLOOKUP(K17,数据更新表!E:E,数据更新表!F:F)</f>
        <v>#N/A</v>
      </c>
      <c r="DA17" s="52" t="e">
        <v>#N/A</v>
      </c>
      <c r="DB17" s="52" t="e">
        <f>_xlfn.XLOOKUP(K17,数据更新表!E:E,数据更新表!G:G)</f>
        <v>#N/A</v>
      </c>
      <c r="DC17" s="106" t="e">
        <f>_xlfn.XLOOKUP(L17,数据更新表!Z:Z,数据更新表!AH:AH)</f>
        <v>#N/A</v>
      </c>
      <c r="DD17" s="49" t="e">
        <f>_xlfn.XLOOKUP(L17,数据更新表!Z:Z,数据更新表!AE:AE)</f>
        <v>#N/A</v>
      </c>
      <c r="DE17" s="49" t="e">
        <f>_xlfn.XLOOKUP(L17,数据更新表!Z:Z,数据更新表!AF:AF)</f>
        <v>#N/A</v>
      </c>
      <c r="DF17" s="49" t="e">
        <f>_xlfn.XLOOKUP(K17,数据更新表!Z:Z,数据更新表!AG:AG)</f>
        <v>#N/A</v>
      </c>
      <c r="DG17" s="49" t="e">
        <f>_xlfn.XLOOKUP(L17,数据更新表!Z:Z,数据更新表!AD:AD)</f>
        <v>#N/A</v>
      </c>
      <c r="DH17" s="49" t="e">
        <f>_xlfn.XLOOKUP(L17,数据更新表!Z:Z,数据更新表!AA:AA)</f>
        <v>#N/A</v>
      </c>
      <c r="DI17" s="49" t="e">
        <f>_xlfn.XLOOKUP(L17,数据更新表!Z:Z,数据更新表!AB:AB)</f>
        <v>#N/A</v>
      </c>
      <c r="DJ17" s="49" t="e">
        <f>_xlfn.XLOOKUP(L17,数据更新表!Z:Z,数据更新表!AC:AC)</f>
        <v>#N/A</v>
      </c>
      <c r="DK17" s="49" t="e">
        <f>_xlfn.XLOOKUP(L17,数据更新表!Z:Z,数据更新表!AI:AI)</f>
        <v>#N/A</v>
      </c>
      <c r="DL17" s="107" t="s">
        <v>111</v>
      </c>
      <c r="DX17" s="98" t="e">
        <f>_xlfn.XLOOKUP(L17,数据更新表!J:J,数据更新表!L:L)</f>
        <v>#N/A</v>
      </c>
      <c r="DY17" s="98" t="e">
        <f>_xlfn.XLOOKUP(L17,数据更新表!J:J,数据更新表!M:M)</f>
        <v>#N/A</v>
      </c>
      <c r="DZ17" s="98">
        <v>6.6</v>
      </c>
      <c r="EB17" s="98">
        <f t="shared" si="7"/>
        <v>17.226</v>
      </c>
      <c r="EC17" s="109" t="e">
        <f t="shared" si="8"/>
        <v>#N/A</v>
      </c>
      <c r="ED17" s="108" t="e">
        <f t="shared" si="9"/>
        <v>#N/A</v>
      </c>
      <c r="EE17" s="110">
        <f t="shared" si="10"/>
        <v>0</v>
      </c>
      <c r="EF17" s="104" t="e">
        <f t="shared" si="11"/>
        <v>#N/A</v>
      </c>
      <c r="EG17" s="98" t="e">
        <f t="shared" si="12"/>
        <v>#N/A</v>
      </c>
      <c r="EH17" s="98" t="e">
        <f t="shared" si="13"/>
        <v>#N/A</v>
      </c>
      <c r="EI17" s="101" t="e">
        <f>IF(DX17&lt;=298,IF(DX17&lt;99,25,IF(DX17&lt;=149,30,IF(DX17&lt;=299,37,85))),IF(DX17&lt;=498,_xlfn.XLOOKUP(EQ17,运费表!A:A,运费表!C:C,"重量超限",-1),_xlfn.XLOOKUP(EQ17,运费表!A:A,运费表!D:D,"重量超限",-1)))</f>
        <v>#N/A</v>
      </c>
      <c r="EJ17" s="101" t="e">
        <f t="shared" si="14"/>
        <v>#N/A</v>
      </c>
      <c r="EK17" s="115">
        <v>0.211986666666667</v>
      </c>
    </row>
    <row r="18" ht="46.25" customHeight="1" spans="2:148">
      <c r="G18" s="98" t="s">
        <v>623</v>
      </c>
      <c r="H18" s="100" t="s">
        <v>632</v>
      </c>
      <c r="J18" s="51" t="s">
        <v>625</v>
      </c>
      <c r="K18" s="100" t="s">
        <v>633</v>
      </c>
      <c r="L18" s="98">
        <v>2424303113</v>
      </c>
      <c r="M18" s="102" t="s">
        <v>97</v>
      </c>
      <c r="N18" s="52" t="e">
        <f>_xlfn.XLOOKUP(L18,数据更新表!J:J,数据更新表!K:K)</f>
        <v>#N/A</v>
      </c>
      <c r="O18" s="52" t="str">
        <f>IFERROR(_xlfn.XLOOKUP(K18,数据更新表!A:A,数据更新表!B:B),"0")</f>
        <v>0</v>
      </c>
      <c r="P18" s="52" t="e">
        <f>_xlfn.XLOOKUP(K18,[1]库销表!$F:$F,[1]库销表!$L:$L)</f>
        <v>#N/A</v>
      </c>
      <c r="Q18" s="103" t="e">
        <f t="shared" si="0"/>
        <v>#N/A</v>
      </c>
      <c r="S18" s="49" t="e">
        <f>_xlfn.XLOOKUP(K18,数据更新表!R:R,数据更新表!S:S)</f>
        <v>#N/A</v>
      </c>
      <c r="T18" s="49" t="e">
        <f>_xlfn.XLOOKUP(K18,数据更新表!V:V,数据更新表!W:W)</f>
        <v>#N/A</v>
      </c>
      <c r="V18" s="104" t="str">
        <f t="shared" si="1"/>
        <v>0</v>
      </c>
      <c r="W18" s="98" t="e">
        <f t="shared" si="2"/>
        <v>#N/A</v>
      </c>
      <c r="X18" s="98" t="e">
        <f t="shared" si="3"/>
        <v>#N/A</v>
      </c>
      <c r="AF18" s="49">
        <f t="shared" si="4"/>
        <v>0</v>
      </c>
      <c r="BR18" s="52"/>
      <c r="BS18" s="52" t="e">
        <f>_xlfn.XLOOKUP(K18,[1]库销表!$F:$F,[1]库销表!$L:$L)</f>
        <v>#N/A</v>
      </c>
      <c r="BT18" s="52" t="e">
        <f t="shared" si="5"/>
        <v>#N/A</v>
      </c>
      <c r="BU18" s="49" t="e" cm="1">
        <f t="array" ref="BU18">_xlfn.XLOOKUP(K18,[1]库销表!$F:$F,[1]库销表!$HT:$IC)</f>
        <v>#N/A</v>
      </c>
      <c r="CW18" s="52" t="e">
        <f>_xlfn.XLOOKUP(K18,[1]库销表!$F:$F,[1]库销表!$IE:$IE)</f>
        <v>#N/A</v>
      </c>
      <c r="CX18" s="52" t="e">
        <f>_xlfn.XLOOKUP(K18,[1]库销表!$F:$F,[1]库销表!$IF:$IF)</f>
        <v>#N/A</v>
      </c>
      <c r="CY18" s="105" t="e">
        <f>_xlfn.XLOOKUP(K18,[1]库销表!$F:$F,[1]库销表!$FL:$FL)</f>
        <v>#N/A</v>
      </c>
      <c r="CZ18" s="52" t="e">
        <f>_xlfn.XLOOKUP(K18,数据更新表!E:E,数据更新表!F:F)</f>
        <v>#N/A</v>
      </c>
      <c r="DA18" s="52" t="e">
        <v>#N/A</v>
      </c>
      <c r="DB18" s="52" t="e">
        <f>_xlfn.XLOOKUP(K18,数据更新表!E:E,数据更新表!G:G)</f>
        <v>#N/A</v>
      </c>
      <c r="DC18" s="106" t="e">
        <f>_xlfn.XLOOKUP(L18,数据更新表!Z:Z,数据更新表!AH:AH)</f>
        <v>#N/A</v>
      </c>
      <c r="DD18" s="49" t="e">
        <f>_xlfn.XLOOKUP(L18,数据更新表!Z:Z,数据更新表!AE:AE)</f>
        <v>#N/A</v>
      </c>
      <c r="DE18" s="49" t="e">
        <f>_xlfn.XLOOKUP(L18,数据更新表!Z:Z,数据更新表!AF:AF)</f>
        <v>#N/A</v>
      </c>
      <c r="DF18" s="49" t="e">
        <f>_xlfn.XLOOKUP(K18,数据更新表!Z:Z,数据更新表!AG:AG)</f>
        <v>#N/A</v>
      </c>
      <c r="DG18" s="49" t="e">
        <f>_xlfn.XLOOKUP(L18,数据更新表!Z:Z,数据更新表!AD:AD)</f>
        <v>#N/A</v>
      </c>
      <c r="DH18" s="49" t="e">
        <f>_xlfn.XLOOKUP(L18,数据更新表!Z:Z,数据更新表!AA:AA)</f>
        <v>#N/A</v>
      </c>
      <c r="DI18" s="49" t="e">
        <f>_xlfn.XLOOKUP(L18,数据更新表!Z:Z,数据更新表!AB:AB)</f>
        <v>#N/A</v>
      </c>
      <c r="DJ18" s="49" t="e">
        <f>_xlfn.XLOOKUP(L18,数据更新表!Z:Z,数据更新表!AC:AC)</f>
        <v>#N/A</v>
      </c>
      <c r="DK18" s="49" t="e">
        <f>_xlfn.XLOOKUP(L18,数据更新表!Z:Z,数据更新表!AI:AI)</f>
        <v>#N/A</v>
      </c>
      <c r="DL18" s="107" t="s">
        <v>111</v>
      </c>
      <c r="DX18" s="98" t="e">
        <f>_xlfn.XLOOKUP(L18,数据更新表!J:J,数据更新表!L:L)</f>
        <v>#N/A</v>
      </c>
      <c r="DY18" s="98" t="e">
        <f>_xlfn.XLOOKUP(L18,数据更新表!J:J,数据更新表!M:M)</f>
        <v>#N/A</v>
      </c>
      <c r="DZ18" s="98">
        <v>6.6</v>
      </c>
      <c r="EB18" s="98">
        <f t="shared" si="7"/>
        <v>17.226</v>
      </c>
      <c r="EC18" s="109" t="e">
        <f t="shared" si="8"/>
        <v>#N/A</v>
      </c>
      <c r="ED18" s="108" t="e">
        <f t="shared" si="9"/>
        <v>#N/A</v>
      </c>
      <c r="EE18" s="110">
        <f t="shared" si="10"/>
        <v>0</v>
      </c>
      <c r="EF18" s="104" t="e">
        <f t="shared" si="11"/>
        <v>#N/A</v>
      </c>
      <c r="EG18" s="98" t="e">
        <f t="shared" si="12"/>
        <v>#N/A</v>
      </c>
      <c r="EH18" s="98" t="e">
        <f t="shared" si="13"/>
        <v>#N/A</v>
      </c>
      <c r="EI18" s="101" t="e">
        <f>IF(DX18&lt;=298,IF(DX18&lt;99,25,IF(DX18&lt;=149,30,IF(DX18&lt;=299,37,85))),IF(DX18&lt;=498,_xlfn.XLOOKUP(EQ18,运费表!A:A,运费表!C:C,"重量超限",-1),_xlfn.XLOOKUP(EQ18,运费表!A:A,运费表!D:D,"重量超限",-1)))</f>
        <v>#N/A</v>
      </c>
      <c r="EJ18" s="101" t="e">
        <f t="shared" si="14"/>
        <v>#N/A</v>
      </c>
      <c r="EK18" s="115">
        <v>0.211986666666667</v>
      </c>
    </row>
    <row r="19" ht="46.25" customHeight="1" spans="2:148">
      <c r="G19" s="98" t="s">
        <v>634</v>
      </c>
      <c r="H19" s="100" t="s">
        <v>635</v>
      </c>
      <c r="J19" s="51" t="s">
        <v>636</v>
      </c>
      <c r="K19" s="100" t="s">
        <v>637</v>
      </c>
      <c r="L19" s="98">
        <v>2424296101</v>
      </c>
      <c r="M19" s="102" t="s">
        <v>97</v>
      </c>
      <c r="N19" s="52" t="e">
        <f>_xlfn.XLOOKUP(L19,数据更新表!J:J,数据更新表!K:K)</f>
        <v>#N/A</v>
      </c>
      <c r="O19" s="52" t="str">
        <f>IFERROR(_xlfn.XLOOKUP(K19,数据更新表!A:A,数据更新表!B:B),"0")</f>
        <v>0</v>
      </c>
      <c r="P19" s="52" t="e">
        <f>_xlfn.XLOOKUP(K19,[1]库销表!$F:$F,[1]库销表!$L:$L)</f>
        <v>#N/A</v>
      </c>
      <c r="Q19" s="103" t="e">
        <f t="shared" si="0"/>
        <v>#N/A</v>
      </c>
      <c r="S19" s="49" t="e">
        <f>_xlfn.XLOOKUP(K19,数据更新表!R:R,数据更新表!S:S)</f>
        <v>#N/A</v>
      </c>
      <c r="T19" s="49" t="e">
        <f>_xlfn.XLOOKUP(K19,数据更新表!V:V,数据更新表!W:W)</f>
        <v>#N/A</v>
      </c>
      <c r="V19" s="104" t="str">
        <f t="shared" si="1"/>
        <v>0</v>
      </c>
      <c r="W19" s="98" t="e">
        <f t="shared" si="2"/>
        <v>#N/A</v>
      </c>
      <c r="X19" s="98" t="e">
        <f t="shared" si="3"/>
        <v>#N/A</v>
      </c>
      <c r="AF19" s="49">
        <f t="shared" si="4"/>
        <v>0</v>
      </c>
      <c r="BR19" s="52"/>
      <c r="BS19" s="52" t="e">
        <f>_xlfn.XLOOKUP(K19,[1]库销表!$F:$F,[1]库销表!$L:$L)</f>
        <v>#N/A</v>
      </c>
      <c r="BT19" s="52" t="e">
        <f t="shared" si="5"/>
        <v>#N/A</v>
      </c>
      <c r="BU19" s="49" t="e" cm="1">
        <f t="array" ref="BU19">_xlfn.XLOOKUP(K19,[1]库销表!$F:$F,[1]库销表!$HT:$IC)</f>
        <v>#N/A</v>
      </c>
      <c r="CW19" s="52" t="e">
        <f>_xlfn.XLOOKUP(K19,[1]库销表!$F:$F,[1]库销表!$IE:$IE)</f>
        <v>#N/A</v>
      </c>
      <c r="CX19" s="52" t="e">
        <f>_xlfn.XLOOKUP(K19,[1]库销表!$F:$F,[1]库销表!$IF:$IF)</f>
        <v>#N/A</v>
      </c>
      <c r="CY19" s="105" t="e">
        <f>_xlfn.XLOOKUP(K19,[1]库销表!$F:$F,[1]库销表!$FL:$FL)</f>
        <v>#N/A</v>
      </c>
      <c r="CZ19" s="52" t="e">
        <f>_xlfn.XLOOKUP(K19,数据更新表!E:E,数据更新表!F:F)</f>
        <v>#N/A</v>
      </c>
      <c r="DA19" s="52" t="e">
        <v>#N/A</v>
      </c>
      <c r="DB19" s="52" t="e">
        <f>_xlfn.XLOOKUP(K19,数据更新表!E:E,数据更新表!G:G)</f>
        <v>#N/A</v>
      </c>
      <c r="DC19" s="106" t="e">
        <f>_xlfn.XLOOKUP(L19,数据更新表!Z:Z,数据更新表!AH:AH)</f>
        <v>#N/A</v>
      </c>
      <c r="DD19" s="49" t="e">
        <f>_xlfn.XLOOKUP(L19,数据更新表!Z:Z,数据更新表!AE:AE)</f>
        <v>#N/A</v>
      </c>
      <c r="DE19" s="49" t="e">
        <f>_xlfn.XLOOKUP(L19,数据更新表!Z:Z,数据更新表!AF:AF)</f>
        <v>#N/A</v>
      </c>
      <c r="DF19" s="49" t="e">
        <f>_xlfn.XLOOKUP(K19,数据更新表!Z:Z,数据更新表!AG:AG)</f>
        <v>#N/A</v>
      </c>
      <c r="DG19" s="49" t="e">
        <f>_xlfn.XLOOKUP(L19,数据更新表!Z:Z,数据更新表!AD:AD)</f>
        <v>#N/A</v>
      </c>
      <c r="DH19" s="49" t="e">
        <f>_xlfn.XLOOKUP(L19,数据更新表!Z:Z,数据更新表!AA:AA)</f>
        <v>#N/A</v>
      </c>
      <c r="DI19" s="49" t="e">
        <f>_xlfn.XLOOKUP(L19,数据更新表!Z:Z,数据更新表!AB:AB)</f>
        <v>#N/A</v>
      </c>
      <c r="DJ19" s="49" t="e">
        <f>_xlfn.XLOOKUP(L19,数据更新表!Z:Z,数据更新表!AC:AC)</f>
        <v>#N/A</v>
      </c>
      <c r="DK19" s="49" t="e">
        <f>_xlfn.XLOOKUP(L19,数据更新表!Z:Z,数据更新表!AI:AI)</f>
        <v>#N/A</v>
      </c>
      <c r="DL19" s="107" t="s">
        <v>111</v>
      </c>
      <c r="DX19" s="98" t="e">
        <f>_xlfn.XLOOKUP(L19,数据更新表!J:J,数据更新表!L:L)</f>
        <v>#N/A</v>
      </c>
      <c r="DY19" s="98" t="e">
        <f>_xlfn.XLOOKUP(L19,数据更新表!J:J,数据更新表!M:M)</f>
        <v>#N/A</v>
      </c>
      <c r="DZ19" s="98">
        <v>2.55</v>
      </c>
      <c r="EB19" s="98">
        <f t="shared" si="7"/>
        <v>6.6555</v>
      </c>
      <c r="EC19" s="109" t="e">
        <f t="shared" si="8"/>
        <v>#N/A</v>
      </c>
      <c r="ED19" s="108" t="e">
        <f t="shared" si="9"/>
        <v>#N/A</v>
      </c>
      <c r="EE19" s="110">
        <f t="shared" si="10"/>
        <v>0</v>
      </c>
      <c r="EF19" s="104" t="e">
        <f t="shared" si="11"/>
        <v>#N/A</v>
      </c>
      <c r="EG19" s="98" t="e">
        <f t="shared" si="12"/>
        <v>#N/A</v>
      </c>
      <c r="EH19" s="98" t="e">
        <f t="shared" si="13"/>
        <v>#N/A</v>
      </c>
      <c r="EI19" s="101" t="e">
        <f>IF(DX19&lt;=298,IF(DX19&lt;99,25,IF(DX19&lt;=149,30,IF(DX19&lt;=299,37,85))),IF(DX19&lt;=498,_xlfn.XLOOKUP(EQ19,运费表!A:A,运费表!C:C,"重量超限",-1),_xlfn.XLOOKUP(EQ19,运费表!A:A,运费表!D:D,"重量超限",-1)))</f>
        <v>#N/A</v>
      </c>
      <c r="EJ19" s="101" t="e">
        <f t="shared" si="14"/>
        <v>#N/A</v>
      </c>
      <c r="EK19" s="115">
        <v>-0.129442857142857</v>
      </c>
    </row>
    <row r="20" ht="46.25" customHeight="1" spans="2:148">
      <c r="G20" s="98" t="s">
        <v>634</v>
      </c>
      <c r="H20" s="100" t="s">
        <v>638</v>
      </c>
      <c r="J20" s="51" t="s">
        <v>636</v>
      </c>
      <c r="K20" s="100" t="s">
        <v>639</v>
      </c>
      <c r="L20" s="98">
        <v>2424296101</v>
      </c>
      <c r="M20" s="102" t="s">
        <v>97</v>
      </c>
      <c r="N20" s="52" t="e">
        <f>_xlfn.XLOOKUP(L20,数据更新表!J:J,数据更新表!K:K)</f>
        <v>#N/A</v>
      </c>
      <c r="O20" s="52" t="str">
        <f>IFERROR(_xlfn.XLOOKUP(K20,数据更新表!A:A,数据更新表!B:B),"0")</f>
        <v>0</v>
      </c>
      <c r="P20" s="52" t="e">
        <f>_xlfn.XLOOKUP(K20,[1]库销表!$F:$F,[1]库销表!$L:$L)</f>
        <v>#N/A</v>
      </c>
      <c r="Q20" s="103" t="e">
        <f t="shared" si="0"/>
        <v>#N/A</v>
      </c>
      <c r="S20" s="49" t="e">
        <f>_xlfn.XLOOKUP(K20,数据更新表!R:R,数据更新表!S:S)</f>
        <v>#N/A</v>
      </c>
      <c r="T20" s="49" t="e">
        <f>_xlfn.XLOOKUP(K20,数据更新表!V:V,数据更新表!W:W)</f>
        <v>#N/A</v>
      </c>
      <c r="V20" s="104" t="str">
        <f t="shared" si="1"/>
        <v>0</v>
      </c>
      <c r="W20" s="98" t="e">
        <f t="shared" si="2"/>
        <v>#N/A</v>
      </c>
      <c r="X20" s="98" t="e">
        <f t="shared" si="3"/>
        <v>#N/A</v>
      </c>
      <c r="AF20" s="49">
        <f t="shared" si="4"/>
        <v>0</v>
      </c>
      <c r="BR20" s="52"/>
      <c r="BS20" s="52" t="e">
        <f>_xlfn.XLOOKUP(K20,[1]库销表!$F:$F,[1]库销表!$L:$L)</f>
        <v>#N/A</v>
      </c>
      <c r="BT20" s="52" t="e">
        <f t="shared" si="5"/>
        <v>#N/A</v>
      </c>
      <c r="BU20" s="49" t="e" cm="1">
        <f t="array" ref="BU20">_xlfn.XLOOKUP(K20,[1]库销表!$F:$F,[1]库销表!$HT:$IC)</f>
        <v>#N/A</v>
      </c>
      <c r="CW20" s="52" t="e">
        <f>_xlfn.XLOOKUP(K20,[1]库销表!$F:$F,[1]库销表!$IE:$IE)</f>
        <v>#N/A</v>
      </c>
      <c r="CX20" s="52" t="e">
        <f>_xlfn.XLOOKUP(K20,[1]库销表!$F:$F,[1]库销表!$IF:$IF)</f>
        <v>#N/A</v>
      </c>
      <c r="CY20" s="105" t="e">
        <f>_xlfn.XLOOKUP(K20,[1]库销表!$F:$F,[1]库销表!$FL:$FL)</f>
        <v>#N/A</v>
      </c>
      <c r="CZ20" s="52" t="e">
        <f>_xlfn.XLOOKUP(K20,数据更新表!E:E,数据更新表!F:F)</f>
        <v>#N/A</v>
      </c>
      <c r="DA20" s="52" t="e">
        <v>#N/A</v>
      </c>
      <c r="DB20" s="52" t="e">
        <f>_xlfn.XLOOKUP(K20,数据更新表!E:E,数据更新表!G:G)</f>
        <v>#N/A</v>
      </c>
      <c r="DC20" s="106" t="e">
        <f>_xlfn.XLOOKUP(L20,数据更新表!Z:Z,数据更新表!AH:AH)</f>
        <v>#N/A</v>
      </c>
      <c r="DD20" s="49" t="e">
        <f>_xlfn.XLOOKUP(L20,数据更新表!Z:Z,数据更新表!AE:AE)</f>
        <v>#N/A</v>
      </c>
      <c r="DE20" s="49" t="e">
        <f>_xlfn.XLOOKUP(L20,数据更新表!Z:Z,数据更新表!AF:AF)</f>
        <v>#N/A</v>
      </c>
      <c r="DF20" s="49" t="e">
        <f>_xlfn.XLOOKUP(K20,数据更新表!Z:Z,数据更新表!AG:AG)</f>
        <v>#N/A</v>
      </c>
      <c r="DG20" s="49" t="e">
        <f>_xlfn.XLOOKUP(L20,数据更新表!Z:Z,数据更新表!AD:AD)</f>
        <v>#N/A</v>
      </c>
      <c r="DH20" s="49" t="e">
        <f>_xlfn.XLOOKUP(L20,数据更新表!Z:Z,数据更新表!AA:AA)</f>
        <v>#N/A</v>
      </c>
      <c r="DI20" s="49" t="e">
        <f>_xlfn.XLOOKUP(L20,数据更新表!Z:Z,数据更新表!AB:AB)</f>
        <v>#N/A</v>
      </c>
      <c r="DJ20" s="49" t="e">
        <f>_xlfn.XLOOKUP(L20,数据更新表!Z:Z,数据更新表!AC:AC)</f>
        <v>#N/A</v>
      </c>
      <c r="DK20" s="49" t="e">
        <f>_xlfn.XLOOKUP(L20,数据更新表!Z:Z,数据更新表!AI:AI)</f>
        <v>#N/A</v>
      </c>
      <c r="DL20" s="107" t="s">
        <v>111</v>
      </c>
      <c r="DX20" s="98" t="e">
        <f>_xlfn.XLOOKUP(L20,数据更新表!J:J,数据更新表!L:L)</f>
        <v>#N/A</v>
      </c>
      <c r="DY20" s="98" t="e">
        <f>_xlfn.XLOOKUP(L20,数据更新表!J:J,数据更新表!M:M)</f>
        <v>#N/A</v>
      </c>
      <c r="DZ20" s="98">
        <v>2.55</v>
      </c>
      <c r="EB20" s="98">
        <f t="shared" si="7"/>
        <v>6.6555</v>
      </c>
      <c r="EC20" s="109" t="e">
        <f t="shared" si="8"/>
        <v>#N/A</v>
      </c>
      <c r="ED20" s="108" t="e">
        <f t="shared" si="9"/>
        <v>#N/A</v>
      </c>
      <c r="EE20" s="110">
        <f t="shared" si="10"/>
        <v>0</v>
      </c>
      <c r="EF20" s="104" t="e">
        <f t="shared" si="11"/>
        <v>#N/A</v>
      </c>
      <c r="EG20" s="98" t="e">
        <f t="shared" si="12"/>
        <v>#N/A</v>
      </c>
      <c r="EH20" s="98" t="e">
        <f t="shared" si="13"/>
        <v>#N/A</v>
      </c>
      <c r="EI20" s="101" t="e">
        <f>IF(DX20&lt;=298,IF(DX20&lt;99,25,IF(DX20&lt;=149,30,IF(DX20&lt;=299,37,85))),IF(DX20&lt;=498,_xlfn.XLOOKUP(EQ20,运费表!A:A,运费表!C:C,"重量超限",-1),_xlfn.XLOOKUP(EQ20,运费表!A:A,运费表!D:D,"重量超限",-1)))</f>
        <v>#N/A</v>
      </c>
      <c r="EJ20" s="101" t="e">
        <f t="shared" si="14"/>
        <v>#N/A</v>
      </c>
      <c r="EK20" s="115">
        <v>-0.129442857142857</v>
      </c>
    </row>
    <row r="21" ht="46.25" customHeight="1" spans="2:148">
      <c r="G21" s="98" t="s">
        <v>640</v>
      </c>
      <c r="H21" s="100" t="s">
        <v>641</v>
      </c>
      <c r="J21" s="117" t="s">
        <v>642</v>
      </c>
      <c r="K21" s="100" t="s">
        <v>643</v>
      </c>
      <c r="L21" s="98">
        <v>4052593376</v>
      </c>
      <c r="M21" s="102" t="s">
        <v>97</v>
      </c>
      <c r="N21" s="52" t="e">
        <f>_xlfn.XLOOKUP(L21,数据更新表!J:J,数据更新表!K:K)</f>
        <v>#N/A</v>
      </c>
      <c r="O21" s="52" t="str">
        <f>IFERROR(_xlfn.XLOOKUP(K21,数据更新表!A:A,数据更新表!B:B),"0")</f>
        <v>0</v>
      </c>
      <c r="P21" s="52" t="e">
        <f>_xlfn.XLOOKUP(K21,[1]库销表!$F:$F,[1]库销表!$L:$L)</f>
        <v>#N/A</v>
      </c>
      <c r="Q21" s="103" t="e">
        <f t="shared" si="0"/>
        <v>#N/A</v>
      </c>
      <c r="S21" s="49" t="e">
        <f>_xlfn.XLOOKUP(K21,数据更新表!R:R,数据更新表!S:S)</f>
        <v>#N/A</v>
      </c>
      <c r="T21" s="49" t="e">
        <f>_xlfn.XLOOKUP(K21,数据更新表!V:V,数据更新表!W:W)</f>
        <v>#N/A</v>
      </c>
      <c r="V21" s="104" t="str">
        <f t="shared" si="1"/>
        <v>0</v>
      </c>
      <c r="W21" s="98" t="e">
        <f t="shared" si="2"/>
        <v>#N/A</v>
      </c>
      <c r="X21" s="98" t="e">
        <f t="shared" si="3"/>
        <v>#N/A</v>
      </c>
      <c r="AF21" s="49">
        <f t="shared" si="4"/>
        <v>0</v>
      </c>
      <c r="BQ21" s="52"/>
      <c r="BR21" s="52"/>
      <c r="BS21" s="52" t="e">
        <f>_xlfn.XLOOKUP(K21,[1]库销表!$F:$F,[1]库销表!$L:$L)</f>
        <v>#N/A</v>
      </c>
      <c r="BT21" s="52" t="e">
        <f t="shared" si="5"/>
        <v>#N/A</v>
      </c>
      <c r="BU21" s="49" t="e" cm="1">
        <f t="array" ref="BU21">_xlfn.XLOOKUP(K21,[1]库销表!$F:$F,[1]库销表!$HT:$IC)</f>
        <v>#N/A</v>
      </c>
      <c r="CW21" s="52" t="e">
        <f>_xlfn.XLOOKUP(K21,[1]库销表!$F:$F,[1]库销表!$IE:$IE)</f>
        <v>#N/A</v>
      </c>
      <c r="CX21" s="52" t="e">
        <f>_xlfn.XLOOKUP(K21,[1]库销表!$F:$F,[1]库销表!$IF:$IF)</f>
        <v>#N/A</v>
      </c>
      <c r="CY21" s="105" t="e">
        <f>_xlfn.XLOOKUP(K21,[1]库销表!$F:$F,[1]库销表!$FL:$FL)</f>
        <v>#N/A</v>
      </c>
      <c r="CZ21" s="52" t="e">
        <f>_xlfn.XLOOKUP(K21,数据更新表!E:E,数据更新表!F:F)</f>
        <v>#N/A</v>
      </c>
      <c r="DA21" s="52" t="e">
        <v>#N/A</v>
      </c>
      <c r="DB21" s="52" t="e">
        <f>_xlfn.XLOOKUP(K21,数据更新表!E:E,数据更新表!G:G)</f>
        <v>#N/A</v>
      </c>
      <c r="DC21" s="106" t="e">
        <f>_xlfn.XLOOKUP(L21,数据更新表!Z:Z,数据更新表!AH:AH)</f>
        <v>#N/A</v>
      </c>
      <c r="DD21" s="49" t="e">
        <f>_xlfn.XLOOKUP(L21,数据更新表!Z:Z,数据更新表!AE:AE)</f>
        <v>#N/A</v>
      </c>
      <c r="DE21" s="49" t="e">
        <f>_xlfn.XLOOKUP(L21,数据更新表!Z:Z,数据更新表!AF:AF)</f>
        <v>#N/A</v>
      </c>
      <c r="DF21" s="49" t="e">
        <f>_xlfn.XLOOKUP(K21,数据更新表!Z:Z,数据更新表!AG:AG)</f>
        <v>#N/A</v>
      </c>
      <c r="DG21" s="49" t="e">
        <f>_xlfn.XLOOKUP(L21,数据更新表!Z:Z,数据更新表!AD:AD)</f>
        <v>#N/A</v>
      </c>
      <c r="DH21" s="49" t="e">
        <f>_xlfn.XLOOKUP(L21,数据更新表!Z:Z,数据更新表!AA:AA)</f>
        <v>#N/A</v>
      </c>
      <c r="DI21" s="49" t="e">
        <f>_xlfn.XLOOKUP(L21,数据更新表!Z:Z,数据更新表!AB:AB)</f>
        <v>#N/A</v>
      </c>
      <c r="DJ21" s="49" t="e">
        <f>_xlfn.XLOOKUP(L21,数据更新表!Z:Z,数据更新表!AC:AC)</f>
        <v>#N/A</v>
      </c>
      <c r="DK21" s="49" t="e">
        <f>_xlfn.XLOOKUP(L21,数据更新表!Z:Z,数据更新表!AI:AI)</f>
        <v>#N/A</v>
      </c>
      <c r="DL21" s="107" t="s">
        <v>111</v>
      </c>
      <c r="DX21" s="98" t="e">
        <f>_xlfn.XLOOKUP(L21,数据更新表!J:J,数据更新表!L:L)</f>
        <v>#N/A</v>
      </c>
      <c r="DY21" s="98" t="e">
        <f>_xlfn.XLOOKUP(L21,数据更新表!J:J,数据更新表!M:M)</f>
        <v>#N/A</v>
      </c>
      <c r="DZ21" s="98">
        <v>8</v>
      </c>
      <c r="EB21" s="98">
        <f t="shared" si="7"/>
        <v>20.88</v>
      </c>
      <c r="EC21" s="109" t="e">
        <f t="shared" si="8"/>
        <v>#N/A</v>
      </c>
      <c r="ED21" s="108" t="e">
        <f t="shared" si="9"/>
        <v>#N/A</v>
      </c>
      <c r="EE21" s="110">
        <f t="shared" si="10"/>
        <v>0</v>
      </c>
      <c r="EF21" s="104" t="e">
        <f t="shared" si="11"/>
        <v>#N/A</v>
      </c>
      <c r="EG21" s="98" t="e">
        <f t="shared" si="12"/>
        <v>#N/A</v>
      </c>
      <c r="EH21" s="98" t="e">
        <f t="shared" si="13"/>
        <v>#N/A</v>
      </c>
      <c r="EI21" s="101" t="e">
        <f>IF(DX21&lt;=298,IF(DX21&lt;99,25,IF(DX21&lt;=149,30,IF(DX21&lt;=299,37,85))),IF(DX21&lt;=498,_xlfn.XLOOKUP(EQ21,运费表!A:A,运费表!C:C,"重量超限",-1),_xlfn.XLOOKUP(EQ21,运费表!A:A,运费表!D:D,"重量超限",-1)))</f>
        <v>#N/A</v>
      </c>
      <c r="EJ21" s="101" t="e">
        <f t="shared" si="14"/>
        <v>#N/A</v>
      </c>
      <c r="EK21" s="115" t="e">
        <v>#N/A</v>
      </c>
    </row>
    <row r="22" ht="46.25" customHeight="1" spans="2:148">
      <c r="G22" s="98" t="s">
        <v>640</v>
      </c>
      <c r="H22" s="100" t="s">
        <v>644</v>
      </c>
      <c r="J22" s="117" t="s">
        <v>642</v>
      </c>
      <c r="K22" s="100" t="s">
        <v>645</v>
      </c>
      <c r="L22" s="98">
        <v>4052593376</v>
      </c>
      <c r="M22" s="102" t="s">
        <v>97</v>
      </c>
      <c r="N22" s="52" t="e">
        <f>_xlfn.XLOOKUP(L22,数据更新表!J:J,数据更新表!K:K)</f>
        <v>#N/A</v>
      </c>
      <c r="O22" s="52" t="str">
        <f>IFERROR(_xlfn.XLOOKUP(K22,数据更新表!A:A,数据更新表!B:B),"0")</f>
        <v>0</v>
      </c>
      <c r="P22" s="52" t="e">
        <f>_xlfn.XLOOKUP(K22,[1]库销表!$F:$F,[1]库销表!$L:$L)</f>
        <v>#N/A</v>
      </c>
      <c r="Q22" s="103" t="e">
        <f t="shared" si="0"/>
        <v>#N/A</v>
      </c>
      <c r="S22" s="49" t="e">
        <f>_xlfn.XLOOKUP(K22,数据更新表!R:R,数据更新表!S:S)</f>
        <v>#N/A</v>
      </c>
      <c r="T22" s="49" t="e">
        <f>_xlfn.XLOOKUP(K22,数据更新表!V:V,数据更新表!W:W)</f>
        <v>#N/A</v>
      </c>
      <c r="V22" s="104" t="str">
        <f t="shared" si="1"/>
        <v>0</v>
      </c>
      <c r="W22" s="98" t="e">
        <f t="shared" si="2"/>
        <v>#N/A</v>
      </c>
      <c r="X22" s="98" t="e">
        <f t="shared" si="3"/>
        <v>#N/A</v>
      </c>
      <c r="AF22" s="49">
        <f t="shared" si="4"/>
        <v>0</v>
      </c>
      <c r="BQ22" s="52"/>
      <c r="BR22" s="52"/>
      <c r="BS22" s="52" t="e">
        <f>_xlfn.XLOOKUP(K22,[1]库销表!$F:$F,[1]库销表!$L:$L)</f>
        <v>#N/A</v>
      </c>
      <c r="BT22" s="52" t="e">
        <f t="shared" si="5"/>
        <v>#N/A</v>
      </c>
      <c r="BU22" s="49" t="e" cm="1">
        <f t="array" ref="BU22">_xlfn.XLOOKUP(K22,[1]库销表!$F:$F,[1]库销表!$HT:$IC)</f>
        <v>#N/A</v>
      </c>
      <c r="CW22" s="52" t="e">
        <f>_xlfn.XLOOKUP(K22,[1]库销表!$F:$F,[1]库销表!$IE:$IE)</f>
        <v>#N/A</v>
      </c>
      <c r="CX22" s="52" t="e">
        <f>_xlfn.XLOOKUP(K22,[1]库销表!$F:$F,[1]库销表!$IF:$IF)</f>
        <v>#N/A</v>
      </c>
      <c r="CY22" s="105" t="e">
        <f>_xlfn.XLOOKUP(K22,[1]库销表!$F:$F,[1]库销表!$FL:$FL)</f>
        <v>#N/A</v>
      </c>
      <c r="CZ22" s="52" t="e">
        <f>_xlfn.XLOOKUP(K22,数据更新表!E:E,数据更新表!F:F)</f>
        <v>#N/A</v>
      </c>
      <c r="DA22" s="52" t="e">
        <v>#N/A</v>
      </c>
      <c r="DB22" s="52" t="e">
        <f>_xlfn.XLOOKUP(K22,数据更新表!E:E,数据更新表!G:G)</f>
        <v>#N/A</v>
      </c>
      <c r="DC22" s="106" t="e">
        <f>_xlfn.XLOOKUP(L22,数据更新表!Z:Z,数据更新表!AH:AH)</f>
        <v>#N/A</v>
      </c>
      <c r="DD22" s="49" t="e">
        <f>_xlfn.XLOOKUP(L22,数据更新表!Z:Z,数据更新表!AE:AE)</f>
        <v>#N/A</v>
      </c>
      <c r="DE22" s="49" t="e">
        <f>_xlfn.XLOOKUP(L22,数据更新表!Z:Z,数据更新表!AF:AF)</f>
        <v>#N/A</v>
      </c>
      <c r="DF22" s="49" t="e">
        <f>_xlfn.XLOOKUP(K22,数据更新表!Z:Z,数据更新表!AG:AG)</f>
        <v>#N/A</v>
      </c>
      <c r="DG22" s="49" t="e">
        <f>_xlfn.XLOOKUP(L22,数据更新表!Z:Z,数据更新表!AD:AD)</f>
        <v>#N/A</v>
      </c>
      <c r="DH22" s="49" t="e">
        <f>_xlfn.XLOOKUP(L22,数据更新表!Z:Z,数据更新表!AA:AA)</f>
        <v>#N/A</v>
      </c>
      <c r="DI22" s="49" t="e">
        <f>_xlfn.XLOOKUP(L22,数据更新表!Z:Z,数据更新表!AB:AB)</f>
        <v>#N/A</v>
      </c>
      <c r="DJ22" s="49" t="e">
        <f>_xlfn.XLOOKUP(L22,数据更新表!Z:Z,数据更新表!AC:AC)</f>
        <v>#N/A</v>
      </c>
      <c r="DK22" s="49" t="e">
        <f>_xlfn.XLOOKUP(L22,数据更新表!Z:Z,数据更新表!AI:AI)</f>
        <v>#N/A</v>
      </c>
      <c r="DL22" s="107" t="s">
        <v>111</v>
      </c>
      <c r="DX22" s="98" t="e">
        <f>_xlfn.XLOOKUP(L22,数据更新表!J:J,数据更新表!L:L)</f>
        <v>#N/A</v>
      </c>
      <c r="DY22" s="98" t="e">
        <f>_xlfn.XLOOKUP(L22,数据更新表!J:J,数据更新表!M:M)</f>
        <v>#N/A</v>
      </c>
      <c r="DZ22" s="98">
        <v>8</v>
      </c>
      <c r="EB22" s="98">
        <f t="shared" si="7"/>
        <v>20.88</v>
      </c>
      <c r="EC22" s="109" t="e">
        <f t="shared" si="8"/>
        <v>#N/A</v>
      </c>
      <c r="ED22" s="108" t="e">
        <f t="shared" si="9"/>
        <v>#N/A</v>
      </c>
      <c r="EE22" s="110">
        <f t="shared" si="10"/>
        <v>0</v>
      </c>
      <c r="EF22" s="104" t="e">
        <f t="shared" si="11"/>
        <v>#N/A</v>
      </c>
      <c r="EG22" s="98" t="e">
        <f t="shared" si="12"/>
        <v>#N/A</v>
      </c>
      <c r="EH22" s="98" t="e">
        <f t="shared" si="13"/>
        <v>#N/A</v>
      </c>
      <c r="EI22" s="101" t="e">
        <f>IF(DX22&lt;=298,IF(DX22&lt;99,25,IF(DX22&lt;=149,30,IF(DX22&lt;=299,37,85))),IF(DX22&lt;=498,_xlfn.XLOOKUP(EQ22,运费表!A:A,运费表!C:C,"重量超限",-1),_xlfn.XLOOKUP(EQ22,运费表!A:A,运费表!D:D,"重量超限",-1)))</f>
        <v>#N/A</v>
      </c>
      <c r="EJ22" s="101" t="e">
        <f t="shared" si="14"/>
        <v>#N/A</v>
      </c>
      <c r="EK22" s="115" t="e">
        <v>#N/A</v>
      </c>
    </row>
    <row r="23" ht="46.25" customHeight="1" spans="2:148">
      <c r="G23" s="98" t="s">
        <v>640</v>
      </c>
      <c r="H23" s="100" t="s">
        <v>646</v>
      </c>
      <c r="J23" s="117" t="s">
        <v>642</v>
      </c>
      <c r="K23" s="100" t="s">
        <v>647</v>
      </c>
      <c r="L23" s="98">
        <v>4052593376</v>
      </c>
      <c r="M23" s="102" t="s">
        <v>97</v>
      </c>
      <c r="N23" s="52" t="e">
        <f>_xlfn.XLOOKUP(L23,数据更新表!J:J,数据更新表!K:K)</f>
        <v>#N/A</v>
      </c>
      <c r="O23" s="52" t="str">
        <f>IFERROR(_xlfn.XLOOKUP(K23,数据更新表!A:A,数据更新表!B:B),"0")</f>
        <v>0</v>
      </c>
      <c r="P23" s="52" t="e">
        <f>_xlfn.XLOOKUP(K23,[1]库销表!$F:$F,[1]库销表!$L:$L)</f>
        <v>#N/A</v>
      </c>
      <c r="Q23" s="103" t="e">
        <f t="shared" si="0"/>
        <v>#N/A</v>
      </c>
      <c r="S23" s="49" t="e">
        <f>_xlfn.XLOOKUP(K23,数据更新表!R:R,数据更新表!S:S)</f>
        <v>#N/A</v>
      </c>
      <c r="T23" s="49" t="e">
        <f>_xlfn.XLOOKUP(K23,数据更新表!V:V,数据更新表!W:W)</f>
        <v>#N/A</v>
      </c>
      <c r="V23" s="104" t="str">
        <f t="shared" si="1"/>
        <v>0</v>
      </c>
      <c r="W23" s="98" t="e">
        <f t="shared" si="2"/>
        <v>#N/A</v>
      </c>
      <c r="X23" s="98" t="e">
        <f t="shared" si="3"/>
        <v>#N/A</v>
      </c>
      <c r="AF23" s="49">
        <f t="shared" si="4"/>
        <v>0</v>
      </c>
      <c r="BQ23" s="52"/>
      <c r="BR23" s="52"/>
      <c r="BS23" s="52" t="e">
        <f>_xlfn.XLOOKUP(K23,[1]库销表!$F:$F,[1]库销表!$L:$L)</f>
        <v>#N/A</v>
      </c>
      <c r="BT23" s="52" t="e">
        <f t="shared" si="5"/>
        <v>#N/A</v>
      </c>
      <c r="BU23" s="49" t="e" cm="1">
        <f t="array" ref="BU23">_xlfn.XLOOKUP(K23,[1]库销表!$F:$F,[1]库销表!$HT:$IC)</f>
        <v>#N/A</v>
      </c>
      <c r="CW23" s="52" t="e">
        <f>_xlfn.XLOOKUP(K23,[1]库销表!$F:$F,[1]库销表!$IE:$IE)</f>
        <v>#N/A</v>
      </c>
      <c r="CX23" s="52" t="e">
        <f>_xlfn.XLOOKUP(K23,[1]库销表!$F:$F,[1]库销表!$IF:$IF)</f>
        <v>#N/A</v>
      </c>
      <c r="CY23" s="105" t="e">
        <f>_xlfn.XLOOKUP(K23,[1]库销表!$F:$F,[1]库销表!$FL:$FL)</f>
        <v>#N/A</v>
      </c>
      <c r="CZ23" s="52" t="e">
        <f>_xlfn.XLOOKUP(K23,数据更新表!E:E,数据更新表!F:F)</f>
        <v>#N/A</v>
      </c>
      <c r="DA23" s="52" t="e">
        <v>#N/A</v>
      </c>
      <c r="DB23" s="52" t="e">
        <f>_xlfn.XLOOKUP(K23,数据更新表!E:E,数据更新表!G:G)</f>
        <v>#N/A</v>
      </c>
      <c r="DC23" s="106" t="e">
        <f>_xlfn.XLOOKUP(L23,数据更新表!Z:Z,数据更新表!AH:AH)</f>
        <v>#N/A</v>
      </c>
      <c r="DD23" s="49" t="e">
        <f>_xlfn.XLOOKUP(L23,数据更新表!Z:Z,数据更新表!AE:AE)</f>
        <v>#N/A</v>
      </c>
      <c r="DE23" s="49" t="e">
        <f>_xlfn.XLOOKUP(L23,数据更新表!Z:Z,数据更新表!AF:AF)</f>
        <v>#N/A</v>
      </c>
      <c r="DF23" s="49" t="e">
        <f>_xlfn.XLOOKUP(K23,数据更新表!Z:Z,数据更新表!AG:AG)</f>
        <v>#N/A</v>
      </c>
      <c r="DG23" s="49" t="e">
        <f>_xlfn.XLOOKUP(L23,数据更新表!Z:Z,数据更新表!AD:AD)</f>
        <v>#N/A</v>
      </c>
      <c r="DH23" s="49" t="e">
        <f>_xlfn.XLOOKUP(L23,数据更新表!Z:Z,数据更新表!AA:AA)</f>
        <v>#N/A</v>
      </c>
      <c r="DI23" s="49" t="e">
        <f>_xlfn.XLOOKUP(L23,数据更新表!Z:Z,数据更新表!AB:AB)</f>
        <v>#N/A</v>
      </c>
      <c r="DJ23" s="49" t="e">
        <f>_xlfn.XLOOKUP(L23,数据更新表!Z:Z,数据更新表!AC:AC)</f>
        <v>#N/A</v>
      </c>
      <c r="DK23" s="49" t="e">
        <f>_xlfn.XLOOKUP(L23,数据更新表!Z:Z,数据更新表!AI:AI)</f>
        <v>#N/A</v>
      </c>
      <c r="DL23" s="107" t="s">
        <v>111</v>
      </c>
      <c r="DX23" s="98" t="e">
        <f>_xlfn.XLOOKUP(L23,数据更新表!J:J,数据更新表!L:L)</f>
        <v>#N/A</v>
      </c>
      <c r="DY23" s="98" t="e">
        <f>_xlfn.XLOOKUP(L23,数据更新表!J:J,数据更新表!M:M)</f>
        <v>#N/A</v>
      </c>
      <c r="DZ23" s="98">
        <v>8</v>
      </c>
      <c r="EB23" s="98">
        <f t="shared" si="7"/>
        <v>20.88</v>
      </c>
      <c r="EC23" s="109" t="e">
        <f t="shared" si="8"/>
        <v>#N/A</v>
      </c>
      <c r="ED23" s="108" t="e">
        <f t="shared" si="9"/>
        <v>#N/A</v>
      </c>
      <c r="EE23" s="110">
        <f t="shared" si="10"/>
        <v>0</v>
      </c>
      <c r="EF23" s="104" t="e">
        <f t="shared" si="11"/>
        <v>#N/A</v>
      </c>
      <c r="EG23" s="98" t="e">
        <f t="shared" si="12"/>
        <v>#N/A</v>
      </c>
      <c r="EH23" s="98" t="e">
        <f t="shared" si="13"/>
        <v>#N/A</v>
      </c>
      <c r="EI23" s="101" t="e">
        <f>IF(DX23&lt;=298,IF(DX23&lt;99,25,IF(DX23&lt;=149,30,IF(DX23&lt;=299,37,85))),IF(DX23&lt;=498,_xlfn.XLOOKUP(EQ23,运费表!A:A,运费表!C:C,"重量超限",-1),_xlfn.XLOOKUP(EQ23,运费表!A:A,运费表!D:D,"重量超限",-1)))</f>
        <v>#N/A</v>
      </c>
      <c r="EJ23" s="101" t="e">
        <f t="shared" si="14"/>
        <v>#N/A</v>
      </c>
      <c r="EK23" s="115" t="e">
        <v>#N/A</v>
      </c>
    </row>
    <row r="24" ht="46.25" customHeight="1" spans="2:148">
      <c r="G24" s="98" t="s">
        <v>640</v>
      </c>
      <c r="H24" s="100" t="s">
        <v>648</v>
      </c>
      <c r="J24" s="117" t="s">
        <v>642</v>
      </c>
      <c r="K24" s="100" t="s">
        <v>649</v>
      </c>
      <c r="L24" s="98">
        <v>4052593376</v>
      </c>
      <c r="M24" s="102" t="s">
        <v>97</v>
      </c>
      <c r="N24" s="52" t="e">
        <f>_xlfn.XLOOKUP(L24,数据更新表!J:J,数据更新表!K:K)</f>
        <v>#N/A</v>
      </c>
      <c r="O24" s="52" t="str">
        <f>IFERROR(_xlfn.XLOOKUP(K24,数据更新表!A:A,数据更新表!B:B),"0")</f>
        <v>0</v>
      </c>
      <c r="P24" s="52" t="e">
        <f>_xlfn.XLOOKUP(K24,[1]库销表!$F:$F,[1]库销表!$L:$L)</f>
        <v>#N/A</v>
      </c>
      <c r="Q24" s="103" t="e">
        <f t="shared" si="0"/>
        <v>#N/A</v>
      </c>
      <c r="S24" s="49" t="e">
        <f>_xlfn.XLOOKUP(K24,数据更新表!R:R,数据更新表!S:S)</f>
        <v>#N/A</v>
      </c>
      <c r="T24" s="49" t="e">
        <f>_xlfn.XLOOKUP(K24,数据更新表!V:V,数据更新表!W:W)</f>
        <v>#N/A</v>
      </c>
      <c r="V24" s="104" t="str">
        <f t="shared" si="1"/>
        <v>0</v>
      </c>
      <c r="W24" s="98" t="e">
        <f t="shared" si="2"/>
        <v>#N/A</v>
      </c>
      <c r="X24" s="98" t="e">
        <f t="shared" si="3"/>
        <v>#N/A</v>
      </c>
      <c r="AF24" s="49">
        <f t="shared" si="4"/>
        <v>0</v>
      </c>
      <c r="BQ24" s="52"/>
      <c r="BR24" s="52"/>
      <c r="BS24" s="52" t="e">
        <f>_xlfn.XLOOKUP(K24,[1]库销表!$F:$F,[1]库销表!$L:$L)</f>
        <v>#N/A</v>
      </c>
      <c r="BT24" s="52" t="e">
        <f t="shared" si="5"/>
        <v>#N/A</v>
      </c>
      <c r="BU24" s="49" t="e" cm="1">
        <f t="array" ref="BU24">_xlfn.XLOOKUP(K24,[1]库销表!$F:$F,[1]库销表!$HT:$IC)</f>
        <v>#N/A</v>
      </c>
      <c r="CW24" s="52" t="e">
        <f>_xlfn.XLOOKUP(K24,[1]库销表!$F:$F,[1]库销表!$IE:$IE)</f>
        <v>#N/A</v>
      </c>
      <c r="CX24" s="52" t="e">
        <f>_xlfn.XLOOKUP(K24,[1]库销表!$F:$F,[1]库销表!$IF:$IF)</f>
        <v>#N/A</v>
      </c>
      <c r="CY24" s="105" t="e">
        <f>_xlfn.XLOOKUP(K24,[1]库销表!$F:$F,[1]库销表!$FL:$FL)</f>
        <v>#N/A</v>
      </c>
      <c r="CZ24" s="52" t="e">
        <f>_xlfn.XLOOKUP(K24,数据更新表!E:E,数据更新表!F:F)</f>
        <v>#N/A</v>
      </c>
      <c r="DA24" s="52" t="e">
        <v>#N/A</v>
      </c>
      <c r="DB24" s="52" t="e">
        <f>_xlfn.XLOOKUP(K24,数据更新表!E:E,数据更新表!G:G)</f>
        <v>#N/A</v>
      </c>
      <c r="DC24" s="106" t="e">
        <f>_xlfn.XLOOKUP(L24,数据更新表!Z:Z,数据更新表!AH:AH)</f>
        <v>#N/A</v>
      </c>
      <c r="DD24" s="49" t="e">
        <f>_xlfn.XLOOKUP(L24,数据更新表!Z:Z,数据更新表!AE:AE)</f>
        <v>#N/A</v>
      </c>
      <c r="DE24" s="49" t="e">
        <f>_xlfn.XLOOKUP(L24,数据更新表!Z:Z,数据更新表!AF:AF)</f>
        <v>#N/A</v>
      </c>
      <c r="DF24" s="49" t="e">
        <f>_xlfn.XLOOKUP(K24,数据更新表!Z:Z,数据更新表!AG:AG)</f>
        <v>#N/A</v>
      </c>
      <c r="DG24" s="49" t="e">
        <f>_xlfn.XLOOKUP(L24,数据更新表!Z:Z,数据更新表!AD:AD)</f>
        <v>#N/A</v>
      </c>
      <c r="DH24" s="49" t="e">
        <f>_xlfn.XLOOKUP(L24,数据更新表!Z:Z,数据更新表!AA:AA)</f>
        <v>#N/A</v>
      </c>
      <c r="DI24" s="49" t="e">
        <f>_xlfn.XLOOKUP(L24,数据更新表!Z:Z,数据更新表!AB:AB)</f>
        <v>#N/A</v>
      </c>
      <c r="DJ24" s="49" t="e">
        <f>_xlfn.XLOOKUP(L24,数据更新表!Z:Z,数据更新表!AC:AC)</f>
        <v>#N/A</v>
      </c>
      <c r="DK24" s="49" t="e">
        <f>_xlfn.XLOOKUP(L24,数据更新表!Z:Z,数据更新表!AI:AI)</f>
        <v>#N/A</v>
      </c>
      <c r="DL24" s="107" t="s">
        <v>111</v>
      </c>
      <c r="DX24" s="98" t="e">
        <f>_xlfn.XLOOKUP(L24,数据更新表!J:J,数据更新表!L:L)</f>
        <v>#N/A</v>
      </c>
      <c r="DY24" s="98" t="e">
        <f>_xlfn.XLOOKUP(L24,数据更新表!J:J,数据更新表!M:M)</f>
        <v>#N/A</v>
      </c>
      <c r="DZ24" s="98">
        <v>8</v>
      </c>
      <c r="EB24" s="98">
        <f t="shared" si="7"/>
        <v>20.88</v>
      </c>
      <c r="EC24" s="109" t="e">
        <f t="shared" si="8"/>
        <v>#N/A</v>
      </c>
      <c r="ED24" s="108" t="e">
        <f t="shared" si="9"/>
        <v>#N/A</v>
      </c>
      <c r="EE24" s="110">
        <f t="shared" si="10"/>
        <v>0</v>
      </c>
      <c r="EF24" s="104" t="e">
        <f t="shared" si="11"/>
        <v>#N/A</v>
      </c>
      <c r="EG24" s="98" t="e">
        <f t="shared" si="12"/>
        <v>#N/A</v>
      </c>
      <c r="EH24" s="98" t="e">
        <f t="shared" si="13"/>
        <v>#N/A</v>
      </c>
      <c r="EI24" s="101" t="e">
        <f>IF(DX24&lt;=298,IF(DX24&lt;99,25,IF(DX24&lt;=149,30,IF(DX24&lt;=299,37,85))),IF(DX24&lt;=498,_xlfn.XLOOKUP(EQ24,运费表!A:A,运费表!C:C,"重量超限",-1),_xlfn.XLOOKUP(EQ24,运费表!A:A,运费表!D:D,"重量超限",-1)))</f>
        <v>#N/A</v>
      </c>
      <c r="EJ24" s="101" t="e">
        <f t="shared" si="14"/>
        <v>#N/A</v>
      </c>
      <c r="EK24" s="115" t="e">
        <v>#N/A</v>
      </c>
    </row>
    <row r="25" ht="46.25" customHeight="1" spans="2:148">
      <c r="G25" s="98" t="s">
        <v>650</v>
      </c>
      <c r="H25" s="100" t="s">
        <v>651</v>
      </c>
      <c r="J25" s="117" t="s">
        <v>652</v>
      </c>
      <c r="K25" s="100" t="s">
        <v>653</v>
      </c>
      <c r="L25" s="98">
        <v>4052609058</v>
      </c>
      <c r="M25" s="102" t="s">
        <v>97</v>
      </c>
      <c r="N25" s="52" t="e">
        <f>_xlfn.XLOOKUP(L25,数据更新表!J:J,数据更新表!K:K)</f>
        <v>#N/A</v>
      </c>
      <c r="O25" s="52" t="str">
        <f>IFERROR(_xlfn.XLOOKUP(K25,数据更新表!A:A,数据更新表!B:B),"0")</f>
        <v>0</v>
      </c>
      <c r="P25" s="52" t="e">
        <f>_xlfn.XLOOKUP(K25,[1]库销表!$F:$F,[1]库销表!$L:$L)</f>
        <v>#N/A</v>
      </c>
      <c r="Q25" s="103" t="e">
        <f t="shared" si="0"/>
        <v>#N/A</v>
      </c>
      <c r="S25" s="49" t="e">
        <f>_xlfn.XLOOKUP(K25,数据更新表!R:R,数据更新表!S:S)</f>
        <v>#N/A</v>
      </c>
      <c r="T25" s="49" t="e">
        <f>_xlfn.XLOOKUP(K25,数据更新表!V:V,数据更新表!W:W)</f>
        <v>#N/A</v>
      </c>
      <c r="V25" s="104" t="str">
        <f t="shared" si="1"/>
        <v>0</v>
      </c>
      <c r="W25" s="98" t="e">
        <f t="shared" si="2"/>
        <v>#N/A</v>
      </c>
      <c r="X25" s="98" t="e">
        <f t="shared" si="3"/>
        <v>#N/A</v>
      </c>
      <c r="AF25" s="49">
        <f t="shared" si="4"/>
        <v>0</v>
      </c>
      <c r="BQ25" s="52"/>
      <c r="BR25" s="52"/>
      <c r="BS25" s="52" t="e">
        <f>_xlfn.XLOOKUP(K25,[1]库销表!$F:$F,[1]库销表!$L:$L)</f>
        <v>#N/A</v>
      </c>
      <c r="BT25" s="52" t="e">
        <f t="shared" si="5"/>
        <v>#N/A</v>
      </c>
      <c r="BU25" s="49" t="e" cm="1">
        <f t="array" ref="BU25">_xlfn.XLOOKUP(K25,[1]库销表!$F:$F,[1]库销表!$HT:$IC)</f>
        <v>#N/A</v>
      </c>
      <c r="CW25" s="52" t="e">
        <f>_xlfn.XLOOKUP(K25,[1]库销表!$F:$F,[1]库销表!$IE:$IE)</f>
        <v>#N/A</v>
      </c>
      <c r="CX25" s="52" t="e">
        <f>_xlfn.XLOOKUP(K25,[1]库销表!$F:$F,[1]库销表!$IF:$IF)</f>
        <v>#N/A</v>
      </c>
      <c r="CY25" s="105" t="e">
        <f>_xlfn.XLOOKUP(K25,[1]库销表!$F:$F,[1]库销表!$FL:$FL)</f>
        <v>#N/A</v>
      </c>
      <c r="CZ25" s="52" t="e">
        <f>_xlfn.XLOOKUP(K25,数据更新表!E:E,数据更新表!F:F)</f>
        <v>#N/A</v>
      </c>
      <c r="DA25" s="52" t="e">
        <v>#N/A</v>
      </c>
      <c r="DB25" s="52" t="e">
        <f>_xlfn.XLOOKUP(K25,数据更新表!E:E,数据更新表!G:G)</f>
        <v>#N/A</v>
      </c>
      <c r="DC25" s="106" t="e">
        <f>_xlfn.XLOOKUP(L25,数据更新表!Z:Z,数据更新表!AH:AH)</f>
        <v>#N/A</v>
      </c>
      <c r="DD25" s="49" t="e">
        <f>_xlfn.XLOOKUP(L25,数据更新表!Z:Z,数据更新表!AE:AE)</f>
        <v>#N/A</v>
      </c>
      <c r="DE25" s="49" t="e">
        <f>_xlfn.XLOOKUP(L25,数据更新表!Z:Z,数据更新表!AF:AF)</f>
        <v>#N/A</v>
      </c>
      <c r="DF25" s="49" t="e">
        <f>_xlfn.XLOOKUP(K25,数据更新表!Z:Z,数据更新表!AG:AG)</f>
        <v>#N/A</v>
      </c>
      <c r="DG25" s="49" t="e">
        <f>_xlfn.XLOOKUP(L25,数据更新表!Z:Z,数据更新表!AD:AD)</f>
        <v>#N/A</v>
      </c>
      <c r="DH25" s="49" t="e">
        <f>_xlfn.XLOOKUP(L25,数据更新表!Z:Z,数据更新表!AA:AA)</f>
        <v>#N/A</v>
      </c>
      <c r="DI25" s="49" t="e">
        <f>_xlfn.XLOOKUP(L25,数据更新表!Z:Z,数据更新表!AB:AB)</f>
        <v>#N/A</v>
      </c>
      <c r="DJ25" s="49" t="e">
        <f>_xlfn.XLOOKUP(L25,数据更新表!Z:Z,数据更新表!AC:AC)</f>
        <v>#N/A</v>
      </c>
      <c r="DK25" s="49" t="e">
        <f>_xlfn.XLOOKUP(L25,数据更新表!Z:Z,数据更新表!AI:AI)</f>
        <v>#N/A</v>
      </c>
      <c r="DL25" s="107" t="s">
        <v>111</v>
      </c>
      <c r="DX25" s="98" t="e">
        <f>_xlfn.XLOOKUP(L25,数据更新表!J:J,数据更新表!L:L)</f>
        <v>#N/A</v>
      </c>
      <c r="DY25" s="98" t="e">
        <f>_xlfn.XLOOKUP(L25,数据更新表!J:J,数据更新表!M:M)</f>
        <v>#N/A</v>
      </c>
      <c r="DZ25" s="98">
        <v>4</v>
      </c>
      <c r="EB25" s="98">
        <f t="shared" si="7"/>
        <v>10.44</v>
      </c>
      <c r="EC25" s="109" t="e">
        <f t="shared" si="8"/>
        <v>#N/A</v>
      </c>
      <c r="ED25" s="108" t="e">
        <f t="shared" si="9"/>
        <v>#N/A</v>
      </c>
      <c r="EE25" s="110">
        <f t="shared" si="10"/>
        <v>0</v>
      </c>
      <c r="EF25" s="104" t="e">
        <f t="shared" si="11"/>
        <v>#N/A</v>
      </c>
      <c r="EG25" s="98" t="e">
        <f t="shared" si="12"/>
        <v>#N/A</v>
      </c>
      <c r="EH25" s="98" t="e">
        <f t="shared" si="13"/>
        <v>#N/A</v>
      </c>
      <c r="EI25" s="101" t="e">
        <f>IF(DX25&lt;=298,IF(DX25&lt;99,25,IF(DX25&lt;=149,30,IF(DX25&lt;=299,37,85))),IF(DX25&lt;=498,_xlfn.XLOOKUP(EQ25,运费表!A:A,运费表!C:C,"重量超限",-1),_xlfn.XLOOKUP(EQ25,运费表!A:A,运费表!D:D,"重量超限",-1)))</f>
        <v>#N/A</v>
      </c>
      <c r="EJ25" s="101" t="e">
        <f t="shared" si="14"/>
        <v>#N/A</v>
      </c>
      <c r="EK25" s="115">
        <v>-0.237571428571429</v>
      </c>
    </row>
    <row r="26" ht="46.25" customHeight="1" spans="2:148">
      <c r="G26" s="98" t="s">
        <v>650</v>
      </c>
      <c r="H26" s="100" t="s">
        <v>654</v>
      </c>
      <c r="J26" s="117" t="s">
        <v>652</v>
      </c>
      <c r="K26" s="100" t="s">
        <v>655</v>
      </c>
      <c r="L26" s="98">
        <v>4052609058</v>
      </c>
      <c r="M26" s="102" t="s">
        <v>97</v>
      </c>
      <c r="N26" s="52" t="e">
        <f>_xlfn.XLOOKUP(L26,数据更新表!J:J,数据更新表!K:K)</f>
        <v>#N/A</v>
      </c>
      <c r="O26" s="52" t="str">
        <f>IFERROR(_xlfn.XLOOKUP(K26,数据更新表!A:A,数据更新表!B:B),"0")</f>
        <v>0</v>
      </c>
      <c r="P26" s="52" t="e">
        <f>_xlfn.XLOOKUP(K26,[1]库销表!$F:$F,[1]库销表!$L:$L)</f>
        <v>#N/A</v>
      </c>
      <c r="Q26" s="103" t="e">
        <f t="shared" si="0"/>
        <v>#N/A</v>
      </c>
      <c r="S26" s="49" t="e">
        <f>_xlfn.XLOOKUP(K26,数据更新表!R:R,数据更新表!S:S)</f>
        <v>#N/A</v>
      </c>
      <c r="T26" s="49" t="e">
        <f>_xlfn.XLOOKUP(K26,数据更新表!V:V,数据更新表!W:W)</f>
        <v>#N/A</v>
      </c>
      <c r="V26" s="104" t="str">
        <f t="shared" si="1"/>
        <v>0</v>
      </c>
      <c r="W26" s="98" t="e">
        <f t="shared" si="2"/>
        <v>#N/A</v>
      </c>
      <c r="X26" s="98" t="e">
        <f t="shared" si="3"/>
        <v>#N/A</v>
      </c>
      <c r="AF26" s="49">
        <f t="shared" si="4"/>
        <v>0</v>
      </c>
      <c r="BR26" s="52"/>
      <c r="BS26" s="52" t="e">
        <f>_xlfn.XLOOKUP(K26,[1]库销表!$F:$F,[1]库销表!$L:$L)</f>
        <v>#N/A</v>
      </c>
      <c r="BT26" s="52" t="e">
        <f t="shared" si="5"/>
        <v>#N/A</v>
      </c>
      <c r="BU26" s="49" t="e" cm="1">
        <f t="array" ref="BU26">_xlfn.XLOOKUP(K26,[1]库销表!$F:$F,[1]库销表!$HT:$IC)</f>
        <v>#N/A</v>
      </c>
      <c r="CW26" s="52" t="e">
        <f>_xlfn.XLOOKUP(K26,[1]库销表!$F:$F,[1]库销表!$IE:$IE)</f>
        <v>#N/A</v>
      </c>
      <c r="CX26" s="52" t="e">
        <f>_xlfn.XLOOKUP(K26,[1]库销表!$F:$F,[1]库销表!$IF:$IF)</f>
        <v>#N/A</v>
      </c>
      <c r="CY26" s="105" t="e">
        <f>_xlfn.XLOOKUP(K26,[1]库销表!$F:$F,[1]库销表!$FL:$FL)</f>
        <v>#N/A</v>
      </c>
      <c r="CZ26" s="52" t="e">
        <f>_xlfn.XLOOKUP(K26,数据更新表!E:E,数据更新表!F:F)</f>
        <v>#N/A</v>
      </c>
      <c r="DA26" s="52" t="e">
        <v>#N/A</v>
      </c>
      <c r="DB26" s="52" t="e">
        <f>_xlfn.XLOOKUP(K26,数据更新表!E:E,数据更新表!G:G)</f>
        <v>#N/A</v>
      </c>
      <c r="DC26" s="106" t="e">
        <f>_xlfn.XLOOKUP(L26,数据更新表!Z:Z,数据更新表!AH:AH)</f>
        <v>#N/A</v>
      </c>
      <c r="DD26" s="49" t="e">
        <f>_xlfn.XLOOKUP(L26,数据更新表!Z:Z,数据更新表!AE:AE)</f>
        <v>#N/A</v>
      </c>
      <c r="DE26" s="49" t="e">
        <f>_xlfn.XLOOKUP(L26,数据更新表!Z:Z,数据更新表!AF:AF)</f>
        <v>#N/A</v>
      </c>
      <c r="DF26" s="49" t="e">
        <f>_xlfn.XLOOKUP(K26,数据更新表!Z:Z,数据更新表!AG:AG)</f>
        <v>#N/A</v>
      </c>
      <c r="DG26" s="49" t="e">
        <f>_xlfn.XLOOKUP(L26,数据更新表!Z:Z,数据更新表!AD:AD)</f>
        <v>#N/A</v>
      </c>
      <c r="DH26" s="49" t="e">
        <f>_xlfn.XLOOKUP(L26,数据更新表!Z:Z,数据更新表!AA:AA)</f>
        <v>#N/A</v>
      </c>
      <c r="DI26" s="49" t="e">
        <f>_xlfn.XLOOKUP(L26,数据更新表!Z:Z,数据更新表!AB:AB)</f>
        <v>#N/A</v>
      </c>
      <c r="DJ26" s="49" t="e">
        <f>_xlfn.XLOOKUP(L26,数据更新表!Z:Z,数据更新表!AC:AC)</f>
        <v>#N/A</v>
      </c>
      <c r="DK26" s="49" t="e">
        <f>_xlfn.XLOOKUP(L26,数据更新表!Z:Z,数据更新表!AI:AI)</f>
        <v>#N/A</v>
      </c>
      <c r="DL26" s="107" t="s">
        <v>111</v>
      </c>
      <c r="DX26" s="98" t="e">
        <f>_xlfn.XLOOKUP(L26,数据更新表!J:J,数据更新表!L:L)</f>
        <v>#N/A</v>
      </c>
      <c r="DY26" s="98" t="e">
        <f>_xlfn.XLOOKUP(L26,数据更新表!J:J,数据更新表!M:M)</f>
        <v>#N/A</v>
      </c>
      <c r="DZ26" s="98">
        <v>4</v>
      </c>
      <c r="EB26" s="98">
        <f t="shared" si="7"/>
        <v>10.44</v>
      </c>
      <c r="EC26" s="109" t="e">
        <f t="shared" si="8"/>
        <v>#N/A</v>
      </c>
      <c r="ED26" s="108" t="e">
        <f t="shared" si="9"/>
        <v>#N/A</v>
      </c>
      <c r="EE26" s="110">
        <f t="shared" si="10"/>
        <v>0</v>
      </c>
      <c r="EF26" s="104" t="e">
        <f t="shared" si="11"/>
        <v>#N/A</v>
      </c>
      <c r="EG26" s="98" t="e">
        <f t="shared" si="12"/>
        <v>#N/A</v>
      </c>
      <c r="EH26" s="98" t="e">
        <f t="shared" si="13"/>
        <v>#N/A</v>
      </c>
      <c r="EI26" s="101" t="e">
        <f>IF(DX26&lt;=298,IF(DX26&lt;99,25,IF(DX26&lt;=149,30,IF(DX26&lt;=299,37,85))),IF(DX26&lt;=498,_xlfn.XLOOKUP(EQ26,运费表!A:A,运费表!C:C,"重量超限",-1),_xlfn.XLOOKUP(EQ26,运费表!A:A,运费表!D:D,"重量超限",-1)))</f>
        <v>#N/A</v>
      </c>
      <c r="EJ26" s="101" t="e">
        <f t="shared" si="14"/>
        <v>#N/A</v>
      </c>
      <c r="EK26" s="115">
        <v>-0.237571428571429</v>
      </c>
    </row>
    <row r="27" ht="46.25" customHeight="1" spans="2:148">
      <c r="G27" s="98" t="s">
        <v>650</v>
      </c>
      <c r="H27" s="100" t="s">
        <v>656</v>
      </c>
      <c r="J27" s="117" t="s">
        <v>657</v>
      </c>
      <c r="K27" s="100" t="s">
        <v>658</v>
      </c>
      <c r="L27" s="98">
        <v>4052697478</v>
      </c>
      <c r="M27" s="102" t="s">
        <v>97</v>
      </c>
      <c r="N27" s="52" t="e">
        <f>_xlfn.XLOOKUP(L27,数据更新表!J:J,数据更新表!K:K)</f>
        <v>#N/A</v>
      </c>
      <c r="O27" s="52" t="str">
        <f>IFERROR(_xlfn.XLOOKUP(K27,数据更新表!A:A,数据更新表!B:B),"0")</f>
        <v>0</v>
      </c>
      <c r="P27" s="52" t="e">
        <f>_xlfn.XLOOKUP(K27,[1]库销表!$F:$F,[1]库销表!$L:$L)</f>
        <v>#N/A</v>
      </c>
      <c r="Q27" s="103" t="e">
        <f t="shared" si="0"/>
        <v>#N/A</v>
      </c>
      <c r="S27" s="49" t="e">
        <f>_xlfn.XLOOKUP(K27,数据更新表!R:R,数据更新表!S:S)</f>
        <v>#N/A</v>
      </c>
      <c r="T27" s="49" t="e">
        <f>_xlfn.XLOOKUP(K27,数据更新表!V:V,数据更新表!W:W)</f>
        <v>#N/A</v>
      </c>
      <c r="V27" s="104" t="str">
        <f t="shared" si="1"/>
        <v>0</v>
      </c>
      <c r="W27" s="98" t="e">
        <f t="shared" si="2"/>
        <v>#N/A</v>
      </c>
      <c r="X27" s="98" t="e">
        <f t="shared" si="3"/>
        <v>#N/A</v>
      </c>
      <c r="AF27" s="49">
        <f t="shared" si="4"/>
        <v>0</v>
      </c>
      <c r="BR27" s="52"/>
      <c r="BS27" s="52" t="e">
        <f>_xlfn.XLOOKUP(K27,[1]库销表!$F:$F,[1]库销表!$L:$L)</f>
        <v>#N/A</v>
      </c>
      <c r="BT27" s="52" t="e">
        <f t="shared" si="5"/>
        <v>#N/A</v>
      </c>
      <c r="BU27" s="49" t="e" cm="1">
        <f t="array" ref="BU27">_xlfn.XLOOKUP(K27,[1]库销表!$F:$F,[1]库销表!$HT:$IC)</f>
        <v>#N/A</v>
      </c>
      <c r="CW27" s="52" t="e">
        <f>_xlfn.XLOOKUP(K27,[1]库销表!$F:$F,[1]库销表!$IE:$IE)</f>
        <v>#N/A</v>
      </c>
      <c r="CX27" s="52" t="e">
        <f>_xlfn.XLOOKUP(K27,[1]库销表!$F:$F,[1]库销表!$IF:$IF)</f>
        <v>#N/A</v>
      </c>
      <c r="CY27" s="105" t="e">
        <f>_xlfn.XLOOKUP(K27,[1]库销表!$F:$F,[1]库销表!$FL:$FL)</f>
        <v>#N/A</v>
      </c>
      <c r="CZ27" s="52" t="e">
        <f>_xlfn.XLOOKUP(K27,数据更新表!E:E,数据更新表!F:F)</f>
        <v>#N/A</v>
      </c>
      <c r="DA27" s="52" t="e">
        <v>#N/A</v>
      </c>
      <c r="DB27" s="52" t="e">
        <f>_xlfn.XLOOKUP(K27,数据更新表!E:E,数据更新表!G:G)</f>
        <v>#N/A</v>
      </c>
      <c r="DC27" s="106" t="e">
        <f>_xlfn.XLOOKUP(L27,数据更新表!Z:Z,数据更新表!AH:AH)</f>
        <v>#N/A</v>
      </c>
      <c r="DD27" s="49" t="e">
        <f>_xlfn.XLOOKUP(L27,数据更新表!Z:Z,数据更新表!AE:AE)</f>
        <v>#N/A</v>
      </c>
      <c r="DE27" s="49" t="e">
        <f>_xlfn.XLOOKUP(L27,数据更新表!Z:Z,数据更新表!AF:AF)</f>
        <v>#N/A</v>
      </c>
      <c r="DF27" s="49" t="e">
        <f>_xlfn.XLOOKUP(K27,数据更新表!Z:Z,数据更新表!AG:AG)</f>
        <v>#N/A</v>
      </c>
      <c r="DG27" s="49" t="e">
        <f>_xlfn.XLOOKUP(L27,数据更新表!Z:Z,数据更新表!AD:AD)</f>
        <v>#N/A</v>
      </c>
      <c r="DH27" s="49" t="e">
        <f>_xlfn.XLOOKUP(L27,数据更新表!Z:Z,数据更新表!AA:AA)</f>
        <v>#N/A</v>
      </c>
      <c r="DI27" s="49" t="e">
        <f>_xlfn.XLOOKUP(L27,数据更新表!Z:Z,数据更新表!AB:AB)</f>
        <v>#N/A</v>
      </c>
      <c r="DJ27" s="49" t="e">
        <f>_xlfn.XLOOKUP(L27,数据更新表!Z:Z,数据更新表!AC:AC)</f>
        <v>#N/A</v>
      </c>
      <c r="DK27" s="49" t="e">
        <f>_xlfn.XLOOKUP(L27,数据更新表!Z:Z,数据更新表!AI:AI)</f>
        <v>#N/A</v>
      </c>
      <c r="DL27" s="107" t="s">
        <v>111</v>
      </c>
      <c r="DX27" s="98" t="e">
        <f>_xlfn.XLOOKUP(L27,数据更新表!J:J,数据更新表!L:L)</f>
        <v>#N/A</v>
      </c>
      <c r="DY27" s="98" t="e">
        <f>_xlfn.XLOOKUP(L27,数据更新表!J:J,数据更新表!M:M)</f>
        <v>#N/A</v>
      </c>
      <c r="DZ27" s="98">
        <v>8</v>
      </c>
      <c r="EB27" s="98">
        <f t="shared" si="7"/>
        <v>20.88</v>
      </c>
      <c r="EC27" s="109" t="e">
        <f t="shared" si="8"/>
        <v>#N/A</v>
      </c>
      <c r="ED27" s="108" t="e">
        <f t="shared" si="9"/>
        <v>#N/A</v>
      </c>
      <c r="EE27" s="110">
        <f t="shared" si="10"/>
        <v>0</v>
      </c>
      <c r="EF27" s="104" t="e">
        <f t="shared" si="11"/>
        <v>#N/A</v>
      </c>
      <c r="EG27" s="98" t="e">
        <f t="shared" si="12"/>
        <v>#N/A</v>
      </c>
      <c r="EH27" s="98" t="e">
        <f t="shared" si="13"/>
        <v>#N/A</v>
      </c>
      <c r="EI27" s="101" t="e">
        <f>IF(DX27&lt;=298,IF(DX27&lt;99,25,IF(DX27&lt;=149,30,IF(DX27&lt;=299,37,85))),IF(DX27&lt;=498,_xlfn.XLOOKUP(EQ27,运费表!A:A,运费表!C:C,"重量超限",-1),_xlfn.XLOOKUP(EQ27,运费表!A:A,运费表!D:D,"重量超限",-1)))</f>
        <v>#N/A</v>
      </c>
      <c r="EJ27" s="101" t="e">
        <f t="shared" si="14"/>
        <v>#N/A</v>
      </c>
      <c r="EK27" s="115">
        <v>-0.535857142857143</v>
      </c>
    </row>
    <row r="28" ht="46.25" customHeight="1" spans="2:148">
      <c r="G28" s="98" t="s">
        <v>650</v>
      </c>
      <c r="H28" s="100" t="s">
        <v>659</v>
      </c>
      <c r="J28" s="117" t="s">
        <v>657</v>
      </c>
      <c r="K28" s="100" t="s">
        <v>660</v>
      </c>
      <c r="L28" s="98">
        <v>4052697478</v>
      </c>
      <c r="M28" s="102" t="s">
        <v>97</v>
      </c>
      <c r="N28" s="52" t="e">
        <f>_xlfn.XLOOKUP(L28,数据更新表!J:J,数据更新表!K:K)</f>
        <v>#N/A</v>
      </c>
      <c r="O28" s="52" t="str">
        <f>IFERROR(_xlfn.XLOOKUP(K28,数据更新表!A:A,数据更新表!B:B),"0")</f>
        <v>0</v>
      </c>
      <c r="P28" s="52" t="e">
        <f>_xlfn.XLOOKUP(K28,[1]库销表!$F:$F,[1]库销表!$L:$L)</f>
        <v>#N/A</v>
      </c>
      <c r="Q28" s="103" t="e">
        <f t="shared" si="0"/>
        <v>#N/A</v>
      </c>
      <c r="S28" s="49" t="e">
        <f>_xlfn.XLOOKUP(K28,数据更新表!R:R,数据更新表!S:S)</f>
        <v>#N/A</v>
      </c>
      <c r="T28" s="49" t="e">
        <f>_xlfn.XLOOKUP(K28,数据更新表!V:V,数据更新表!W:W)</f>
        <v>#N/A</v>
      </c>
      <c r="V28" s="104" t="str">
        <f t="shared" si="1"/>
        <v>0</v>
      </c>
      <c r="W28" s="98" t="e">
        <f t="shared" si="2"/>
        <v>#N/A</v>
      </c>
      <c r="X28" s="98" t="e">
        <f t="shared" si="3"/>
        <v>#N/A</v>
      </c>
      <c r="AF28" s="49">
        <f t="shared" si="4"/>
        <v>0</v>
      </c>
      <c r="BR28" s="52"/>
      <c r="BS28" s="52" t="e">
        <f>_xlfn.XLOOKUP(K28,[1]库销表!$F:$F,[1]库销表!$L:$L)</f>
        <v>#N/A</v>
      </c>
      <c r="BT28" s="52" t="e">
        <f t="shared" si="5"/>
        <v>#N/A</v>
      </c>
      <c r="BU28" s="49" t="e" cm="1">
        <f t="array" ref="BU28">_xlfn.XLOOKUP(K28,[1]库销表!$F:$F,[1]库销表!$HT:$IC)</f>
        <v>#N/A</v>
      </c>
      <c r="CW28" s="52" t="e">
        <f>_xlfn.XLOOKUP(K28,[1]库销表!$F:$F,[1]库销表!$IE:$IE)</f>
        <v>#N/A</v>
      </c>
      <c r="CX28" s="52" t="e">
        <f>_xlfn.XLOOKUP(K28,[1]库销表!$F:$F,[1]库销表!$IF:$IF)</f>
        <v>#N/A</v>
      </c>
      <c r="CY28" s="105" t="e">
        <f>_xlfn.XLOOKUP(K28,[1]库销表!$F:$F,[1]库销表!$FL:$FL)</f>
        <v>#N/A</v>
      </c>
      <c r="CZ28" s="52" t="e">
        <f>_xlfn.XLOOKUP(K28,数据更新表!E:E,数据更新表!F:F)</f>
        <v>#N/A</v>
      </c>
      <c r="DA28" s="52" t="e">
        <v>#N/A</v>
      </c>
      <c r="DB28" s="52" t="e">
        <f>_xlfn.XLOOKUP(K28,数据更新表!E:E,数据更新表!G:G)</f>
        <v>#N/A</v>
      </c>
      <c r="DC28" s="106" t="e">
        <f>_xlfn.XLOOKUP(L28,数据更新表!Z:Z,数据更新表!AH:AH)</f>
        <v>#N/A</v>
      </c>
      <c r="DD28" s="49" t="e">
        <f>_xlfn.XLOOKUP(L28,数据更新表!Z:Z,数据更新表!AE:AE)</f>
        <v>#N/A</v>
      </c>
      <c r="DE28" s="49" t="e">
        <f>_xlfn.XLOOKUP(L28,数据更新表!Z:Z,数据更新表!AF:AF)</f>
        <v>#N/A</v>
      </c>
      <c r="DF28" s="49" t="e">
        <f>_xlfn.XLOOKUP(K28,数据更新表!Z:Z,数据更新表!AG:AG)</f>
        <v>#N/A</v>
      </c>
      <c r="DG28" s="49" t="e">
        <f>_xlfn.XLOOKUP(L28,数据更新表!Z:Z,数据更新表!AD:AD)</f>
        <v>#N/A</v>
      </c>
      <c r="DH28" s="49" t="e">
        <f>_xlfn.XLOOKUP(L28,数据更新表!Z:Z,数据更新表!AA:AA)</f>
        <v>#N/A</v>
      </c>
      <c r="DI28" s="49" t="e">
        <f>_xlfn.XLOOKUP(L28,数据更新表!Z:Z,数据更新表!AB:AB)</f>
        <v>#N/A</v>
      </c>
      <c r="DJ28" s="49" t="e">
        <f>_xlfn.XLOOKUP(L28,数据更新表!Z:Z,数据更新表!AC:AC)</f>
        <v>#N/A</v>
      </c>
      <c r="DK28" s="49" t="e">
        <f>_xlfn.XLOOKUP(L28,数据更新表!Z:Z,数据更新表!AI:AI)</f>
        <v>#N/A</v>
      </c>
      <c r="DL28" s="107" t="s">
        <v>111</v>
      </c>
      <c r="DX28" s="98" t="e">
        <f>_xlfn.XLOOKUP(L28,数据更新表!J:J,数据更新表!L:L)</f>
        <v>#N/A</v>
      </c>
      <c r="DY28" s="98" t="e">
        <f>_xlfn.XLOOKUP(L28,数据更新表!J:J,数据更新表!M:M)</f>
        <v>#N/A</v>
      </c>
      <c r="DZ28" s="98">
        <v>8</v>
      </c>
      <c r="EB28" s="98">
        <f t="shared" si="7"/>
        <v>20.88</v>
      </c>
      <c r="EC28" s="109" t="e">
        <f t="shared" si="8"/>
        <v>#N/A</v>
      </c>
      <c r="ED28" s="108" t="e">
        <f t="shared" si="9"/>
        <v>#N/A</v>
      </c>
      <c r="EE28" s="110">
        <f t="shared" si="10"/>
        <v>0</v>
      </c>
      <c r="EF28" s="104" t="e">
        <f t="shared" si="11"/>
        <v>#N/A</v>
      </c>
      <c r="EG28" s="98" t="e">
        <f t="shared" si="12"/>
        <v>#N/A</v>
      </c>
      <c r="EH28" s="98" t="e">
        <f t="shared" si="13"/>
        <v>#N/A</v>
      </c>
      <c r="EI28" s="101" t="e">
        <f>IF(DX28&lt;=298,IF(DX28&lt;99,25,IF(DX28&lt;=149,30,IF(DX28&lt;=299,37,85))),IF(DX28&lt;=498,_xlfn.XLOOKUP(EQ28,运费表!A:A,运费表!C:C,"重量超限",-1),_xlfn.XLOOKUP(EQ28,运费表!A:A,运费表!D:D,"重量超限",-1)))</f>
        <v>#N/A</v>
      </c>
      <c r="EJ28" s="101" t="e">
        <f t="shared" si="14"/>
        <v>#N/A</v>
      </c>
      <c r="EK28" s="115">
        <v>-0.535857142857143</v>
      </c>
    </row>
    <row r="29" ht="46.25" customHeight="1" spans="2:148">
      <c r="G29" s="98" t="s">
        <v>661</v>
      </c>
      <c r="H29" s="100" t="s">
        <v>662</v>
      </c>
      <c r="J29" s="117" t="s">
        <v>663</v>
      </c>
      <c r="K29" s="100" t="s">
        <v>664</v>
      </c>
      <c r="L29" s="98">
        <v>4052632704</v>
      </c>
      <c r="M29" s="102" t="s">
        <v>97</v>
      </c>
      <c r="N29" s="52" t="e">
        <f>_xlfn.XLOOKUP(L29,数据更新表!J:J,数据更新表!K:K)</f>
        <v>#N/A</v>
      </c>
      <c r="O29" s="52" t="str">
        <f>IFERROR(_xlfn.XLOOKUP(K29,数据更新表!A:A,数据更新表!B:B),"0")</f>
        <v>0</v>
      </c>
      <c r="P29" s="52" t="e">
        <f>_xlfn.XLOOKUP(K29,[1]库销表!$F:$F,[1]库销表!$L:$L)</f>
        <v>#N/A</v>
      </c>
      <c r="Q29" s="103" t="e">
        <f t="shared" si="0"/>
        <v>#N/A</v>
      </c>
      <c r="S29" s="49" t="e">
        <f>_xlfn.XLOOKUP(K29,数据更新表!R:R,数据更新表!S:S)</f>
        <v>#N/A</v>
      </c>
      <c r="T29" s="49" t="e">
        <f>_xlfn.XLOOKUP(K29,数据更新表!V:V,数据更新表!W:W)</f>
        <v>#N/A</v>
      </c>
      <c r="V29" s="104" t="str">
        <f t="shared" si="1"/>
        <v>0</v>
      </c>
      <c r="W29" s="98" t="e">
        <f t="shared" si="2"/>
        <v>#N/A</v>
      </c>
      <c r="X29" s="98" t="e">
        <f t="shared" si="3"/>
        <v>#N/A</v>
      </c>
      <c r="AF29" s="49">
        <f t="shared" si="4"/>
        <v>0</v>
      </c>
      <c r="BR29" s="52"/>
      <c r="BS29" s="52" t="e">
        <f>_xlfn.XLOOKUP(K29,[1]库销表!$F:$F,[1]库销表!$L:$L)</f>
        <v>#N/A</v>
      </c>
      <c r="BT29" s="52" t="e">
        <f t="shared" si="5"/>
        <v>#N/A</v>
      </c>
      <c r="BU29" s="49" t="e" cm="1">
        <f t="array" ref="BU29">_xlfn.XLOOKUP(K29,[1]库销表!$F:$F,[1]库销表!$HT:$IC)</f>
        <v>#N/A</v>
      </c>
      <c r="CW29" s="52" t="e">
        <f>_xlfn.XLOOKUP(K29,[1]库销表!$F:$F,[1]库销表!$IE:$IE)</f>
        <v>#N/A</v>
      </c>
      <c r="CX29" s="52" t="e">
        <f>_xlfn.XLOOKUP(K29,[1]库销表!$F:$F,[1]库销表!$IF:$IF)</f>
        <v>#N/A</v>
      </c>
      <c r="CY29" s="105" t="e">
        <f>_xlfn.XLOOKUP(K29,[1]库销表!$F:$F,[1]库销表!$FL:$FL)</f>
        <v>#N/A</v>
      </c>
      <c r="CZ29" s="52" t="e">
        <f>_xlfn.XLOOKUP(K29,数据更新表!E:E,数据更新表!F:F)</f>
        <v>#N/A</v>
      </c>
      <c r="DA29" s="52" t="e">
        <v>#N/A</v>
      </c>
      <c r="DB29" s="52" t="e">
        <f>_xlfn.XLOOKUP(K29,数据更新表!E:E,数据更新表!G:G)</f>
        <v>#N/A</v>
      </c>
      <c r="DC29" s="106" t="e">
        <f>_xlfn.XLOOKUP(L29,数据更新表!Z:Z,数据更新表!AH:AH)</f>
        <v>#N/A</v>
      </c>
      <c r="DD29" s="49" t="e">
        <f>_xlfn.XLOOKUP(L29,数据更新表!Z:Z,数据更新表!AE:AE)</f>
        <v>#N/A</v>
      </c>
      <c r="DE29" s="49" t="e">
        <f>_xlfn.XLOOKUP(L29,数据更新表!Z:Z,数据更新表!AF:AF)</f>
        <v>#N/A</v>
      </c>
      <c r="DF29" s="49" t="e">
        <f>_xlfn.XLOOKUP(K29,数据更新表!Z:Z,数据更新表!AG:AG)</f>
        <v>#N/A</v>
      </c>
      <c r="DG29" s="49" t="e">
        <f>_xlfn.XLOOKUP(L29,数据更新表!Z:Z,数据更新表!AD:AD)</f>
        <v>#N/A</v>
      </c>
      <c r="DH29" s="49" t="e">
        <f>_xlfn.XLOOKUP(L29,数据更新表!Z:Z,数据更新表!AA:AA)</f>
        <v>#N/A</v>
      </c>
      <c r="DI29" s="49" t="e">
        <f>_xlfn.XLOOKUP(L29,数据更新表!Z:Z,数据更新表!AB:AB)</f>
        <v>#N/A</v>
      </c>
      <c r="DJ29" s="49" t="e">
        <f>_xlfn.XLOOKUP(L29,数据更新表!Z:Z,数据更新表!AC:AC)</f>
        <v>#N/A</v>
      </c>
      <c r="DK29" s="49" t="e">
        <f>_xlfn.XLOOKUP(L29,数据更新表!Z:Z,数据更新表!AI:AI)</f>
        <v>#N/A</v>
      </c>
      <c r="DL29" s="107" t="s">
        <v>111</v>
      </c>
      <c r="DX29" s="98" t="e">
        <f>_xlfn.XLOOKUP(L29,数据更新表!J:J,数据更新表!L:L)</f>
        <v>#N/A</v>
      </c>
      <c r="DY29" s="98" t="e">
        <f>_xlfn.XLOOKUP(L29,数据更新表!J:J,数据更新表!M:M)</f>
        <v>#N/A</v>
      </c>
      <c r="DZ29" s="98">
        <v>55</v>
      </c>
      <c r="EB29" s="98">
        <f t="shared" si="7"/>
        <v>143.55</v>
      </c>
      <c r="EC29" s="109" t="e">
        <f t="shared" si="8"/>
        <v>#N/A</v>
      </c>
      <c r="ED29" s="108" t="e">
        <f t="shared" si="9"/>
        <v>#N/A</v>
      </c>
      <c r="EE29" s="110">
        <f t="shared" si="10"/>
        <v>0</v>
      </c>
      <c r="EF29" s="104" t="e">
        <f t="shared" si="11"/>
        <v>#N/A</v>
      </c>
      <c r="EG29" s="98" t="e">
        <f t="shared" si="12"/>
        <v>#N/A</v>
      </c>
      <c r="EH29" s="98" t="e">
        <f t="shared" si="13"/>
        <v>#N/A</v>
      </c>
      <c r="EI29" s="101" t="e">
        <f>IF(DX29&lt;=298,IF(DX29&lt;99,25,IF(DX29&lt;=149,30,IF(DX29&lt;=299,37,85))),IF(DX29&lt;=498,_xlfn.XLOOKUP(EQ29,运费表!A:A,运费表!C:C,"重量超限",-1),_xlfn.XLOOKUP(EQ29,运费表!A:A,运费表!D:D,"重量超限",-1)))</f>
        <v>#N/A</v>
      </c>
      <c r="EJ29" s="101" t="e">
        <f t="shared" si="14"/>
        <v>#N/A</v>
      </c>
      <c r="EK29" s="115">
        <v>0.414321608040201</v>
      </c>
    </row>
    <row r="30" ht="46.25" hidden="1" customHeight="1" spans="2:148">
      <c r="B30" s="118" t="s">
        <v>144</v>
      </c>
      <c r="C30" s="98">
        <v>56</v>
      </c>
      <c r="D30" s="98">
        <v>149</v>
      </c>
      <c r="E30" s="99">
        <v>45953</v>
      </c>
      <c r="G30" s="98" t="s">
        <v>145</v>
      </c>
      <c r="H30" s="119" t="s">
        <v>146</v>
      </c>
      <c r="J30" s="100" t="s">
        <v>147</v>
      </c>
      <c r="K30" s="100" t="s">
        <v>148</v>
      </c>
      <c r="M30" s="106" t="s">
        <v>183</v>
      </c>
      <c r="N30" s="52">
        <f>_xlfn.XLOOKUP(L30,数据更新表!J:J,数据更新表!K:K)</f>
        <v>0</v>
      </c>
      <c r="O30" s="52">
        <f>IFERROR(_xlfn.XLOOKUP(K30,数据更新表!A:A,数据更新表!B:B),"0")</f>
        <v>30</v>
      </c>
      <c r="P30" s="52">
        <f>_xlfn.XLOOKUP(K30,[1]库销表!$F:$F,[1]库销表!$L:$L)</f>
        <v>0</v>
      </c>
      <c r="Q30" s="103" t="e">
        <f t="shared" si="0"/>
        <v>#N/A</v>
      </c>
      <c r="S30" s="49" t="e">
        <f>_xlfn.XLOOKUP(K30,数据更新表!R:R,数据更新表!S:S)</f>
        <v>#N/A</v>
      </c>
      <c r="T30" s="49" t="e">
        <f>_xlfn.XLOOKUP(K30,数据更新表!V:V,数据更新表!W:W)</f>
        <v>#N/A</v>
      </c>
      <c r="V30" s="104" t="str">
        <f t="shared" si="1"/>
        <v>0</v>
      </c>
      <c r="W30" s="98" t="e">
        <f t="shared" si="2"/>
        <v>#N/A</v>
      </c>
      <c r="X30" s="98">
        <f t="shared" si="3"/>
        <v>30</v>
      </c>
      <c r="AF30" s="49">
        <f t="shared" si="4"/>
        <v>0</v>
      </c>
      <c r="BI30" s="52"/>
      <c r="BR30" s="52"/>
      <c r="BS30" s="52">
        <f>_xlfn.XLOOKUP(K30,[1]库销表!$F:$F,[1]库销表!$L:$L)</f>
        <v>0</v>
      </c>
      <c r="BT30" s="52">
        <f t="shared" si="5"/>
        <v>0</v>
      </c>
      <c r="BU30" s="49" cm="1">
        <f t="array" ref="BU30:CD30">_xlfn.XLOOKUP(K30,[1]库销表!$F:$F,[1]库销表!$HT:$IC)</f>
        <v>0</v>
      </c>
      <c r="BV30" s="49">
        <v>0</v>
      </c>
      <c r="BW30" s="49">
        <v>0</v>
      </c>
      <c r="BX30" s="49">
        <v>0</v>
      </c>
      <c r="BY30" s="49">
        <v>0</v>
      </c>
      <c r="BZ30" s="49">
        <v>0</v>
      </c>
      <c r="CA30" s="49">
        <v>0</v>
      </c>
      <c r="CB30" s="49">
        <v>0</v>
      </c>
      <c r="CC30" s="49">
        <v>0</v>
      </c>
      <c r="CD30" s="49">
        <v>0</v>
      </c>
      <c r="CW30" s="52">
        <f>_xlfn.XLOOKUP(K30,[1]库销表!$F:$F,[1]库销表!$IE:$IE)</f>
        <v>0</v>
      </c>
      <c r="CX30" s="52">
        <f>_xlfn.XLOOKUP(K30,[1]库销表!$F:$F,[1]库销表!$IF:$IF)</f>
        <v>0</v>
      </c>
      <c r="CY30" s="105">
        <f>_xlfn.XLOOKUP(K30,[1]库销表!$F:$F,[1]库销表!$FL:$FL)</f>
        <v>0</v>
      </c>
      <c r="CZ30" s="52" t="e">
        <f>_xlfn.XLOOKUP(K30,数据更新表!E:E,数据更新表!F:F)</f>
        <v>#N/A</v>
      </c>
      <c r="DA30" s="52" t="e">
        <v>#N/A</v>
      </c>
      <c r="DB30" s="52" t="e">
        <f>_xlfn.XLOOKUP(K30,数据更新表!E:E,数据更新表!G:G)</f>
        <v>#N/A</v>
      </c>
      <c r="DC30" s="106">
        <f>_xlfn.XLOOKUP(L30,数据更新表!Z:Z,数据更新表!AH:AH)</f>
        <v>0</v>
      </c>
      <c r="DD30" s="49">
        <f>_xlfn.XLOOKUP(L30,数据更新表!Z:Z,数据更新表!AE:AE)</f>
        <v>0</v>
      </c>
      <c r="DE30" s="49">
        <f>_xlfn.XLOOKUP(L30,数据更新表!Z:Z,数据更新表!AF:AF)</f>
        <v>0</v>
      </c>
      <c r="DF30" s="49" t="e">
        <f>_xlfn.XLOOKUP(K30,数据更新表!Z:Z,数据更新表!AG:AG)</f>
        <v>#N/A</v>
      </c>
      <c r="DG30" s="49">
        <f>_xlfn.XLOOKUP(L30,数据更新表!Z:Z,数据更新表!AD:AD)</f>
        <v>0</v>
      </c>
      <c r="DH30" s="49">
        <f>_xlfn.XLOOKUP(L30,数据更新表!Z:Z,数据更新表!AA:AA)</f>
        <v>0</v>
      </c>
      <c r="DI30" s="49">
        <f>_xlfn.XLOOKUP(L30,数据更新表!Z:Z,数据更新表!AB:AB)</f>
        <v>0</v>
      </c>
      <c r="DJ30" s="49">
        <f>_xlfn.XLOOKUP(L30,数据更新表!Z:Z,数据更新表!AC:AC)</f>
        <v>0</v>
      </c>
      <c r="DK30" s="49">
        <f>_xlfn.XLOOKUP(L30,数据更新表!Z:Z,数据更新表!AI:AI)</f>
        <v>0</v>
      </c>
      <c r="DX30" s="98">
        <f>_xlfn.XLOOKUP(L30,数据更新表!J:J,数据更新表!L:L)</f>
        <v>0</v>
      </c>
      <c r="DY30" s="98">
        <f>_xlfn.XLOOKUP(L30,数据更新表!J:J,数据更新表!M:M)</f>
        <v>0</v>
      </c>
      <c r="DZ30" s="98">
        <v>51</v>
      </c>
      <c r="EA30" s="108">
        <f t="shared" ref="EA30:EA69" si="21">EC30/(EB30+EE30)</f>
        <v>-1.18018329686423</v>
      </c>
      <c r="EB30" s="98">
        <f t="shared" si="7"/>
        <v>133.11</v>
      </c>
      <c r="EC30" s="109">
        <f t="shared" si="8"/>
        <v>-163.7476</v>
      </c>
      <c r="ED30" s="108" t="e">
        <f t="shared" si="9"/>
        <v>#DIV/0!</v>
      </c>
      <c r="EE30" s="110">
        <f t="shared" si="10"/>
        <v>5.6376</v>
      </c>
      <c r="EF30" s="98" t="str">
        <f t="shared" si="11"/>
        <v>否</v>
      </c>
      <c r="EG30" s="98">
        <f t="shared" si="12"/>
        <v>0</v>
      </c>
      <c r="EH30" s="98">
        <f t="shared" ref="EH30:EH69" si="22">DX30*0.195</f>
        <v>0</v>
      </c>
      <c r="EI30" s="101">
        <f>IF(DX30&lt;=298,IF(DX30&lt;99,25,IF(DX30&lt;=149,30,IF(DX30&lt;=299,37,85))),IF(DX30&lt;=498,_xlfn.XLOOKUP(EQ30,运费表!A:A,运费表!C:C,"重量超限",-1),_xlfn.XLOOKUP(EQ30,运费表!A:A,运费表!D:D,"重量超限",-1)))</f>
        <v>25</v>
      </c>
      <c r="EJ30" s="101">
        <f t="shared" si="14"/>
        <v>0</v>
      </c>
      <c r="EK30" s="108" t="e">
        <v>#DIV/0!</v>
      </c>
      <c r="EL30" s="98">
        <v>0.3</v>
      </c>
      <c r="EM30" s="98"/>
      <c r="EN30" s="98"/>
      <c r="EO30" s="98"/>
      <c r="EP30" s="98">
        <f t="shared" ref="EP30:EP34" si="23">(50*30*30)/50/5000</f>
        <v>0.18</v>
      </c>
      <c r="EQ30" s="98">
        <f t="shared" ref="EQ30:EQ69" si="24">IF(EP30&gt;=EL30,EP30,EL30)</f>
        <v>0.3</v>
      </c>
      <c r="ER30" s="98">
        <v>0.0009</v>
      </c>
    </row>
    <row r="31" hidden="1" customHeight="1" spans="2:148">
      <c r="B31" s="118" t="s">
        <v>154</v>
      </c>
      <c r="C31" s="98">
        <v>8</v>
      </c>
      <c r="D31" s="98">
        <v>47</v>
      </c>
      <c r="E31" s="99">
        <v>45953</v>
      </c>
      <c r="G31" s="98" t="s">
        <v>145</v>
      </c>
      <c r="H31" s="119" t="s">
        <v>155</v>
      </c>
      <c r="J31" s="100" t="s">
        <v>156</v>
      </c>
      <c r="K31" s="100" t="s">
        <v>157</v>
      </c>
      <c r="M31" s="106" t="s">
        <v>183</v>
      </c>
      <c r="N31" s="52">
        <f>_xlfn.XLOOKUP(L31,数据更新表!J:J,数据更新表!K:K)</f>
        <v>0</v>
      </c>
      <c r="O31" s="52">
        <f>IFERROR(_xlfn.XLOOKUP(K31,数据更新表!A:A,数据更新表!B:B),"0")</f>
        <v>30</v>
      </c>
      <c r="P31" s="52">
        <f>_xlfn.XLOOKUP(K31,[1]库销表!$F:$F,[1]库销表!$L:$L)</f>
        <v>0</v>
      </c>
      <c r="Q31" s="103" t="e">
        <f t="shared" si="0"/>
        <v>#N/A</v>
      </c>
      <c r="S31" s="49" t="e">
        <f>_xlfn.XLOOKUP(K31,数据更新表!R:R,数据更新表!S:S)</f>
        <v>#N/A</v>
      </c>
      <c r="T31" s="49" t="e">
        <f>_xlfn.XLOOKUP(K31,数据更新表!V:V,数据更新表!W:W)</f>
        <v>#N/A</v>
      </c>
      <c r="V31" s="104" t="str">
        <f t="shared" si="1"/>
        <v>0</v>
      </c>
      <c r="W31" s="98" t="e">
        <f t="shared" si="2"/>
        <v>#N/A</v>
      </c>
      <c r="X31" s="98">
        <f t="shared" si="3"/>
        <v>30</v>
      </c>
      <c r="AF31" s="49">
        <f t="shared" si="4"/>
        <v>0</v>
      </c>
      <c r="BI31" s="52"/>
      <c r="BR31" s="52"/>
      <c r="BS31" s="52">
        <f>_xlfn.XLOOKUP(K31,[1]库销表!$F:$F,[1]库销表!$L:$L)</f>
        <v>0</v>
      </c>
      <c r="BT31" s="52">
        <f t="shared" si="5"/>
        <v>0</v>
      </c>
      <c r="BU31" s="49" cm="1">
        <f t="array" ref="BU31:CD31">_xlfn.XLOOKUP(K31,[1]库销表!$F:$F,[1]库销表!$HT:$IC)</f>
        <v>0</v>
      </c>
      <c r="BV31" s="49">
        <v>0</v>
      </c>
      <c r="BW31" s="49">
        <v>0</v>
      </c>
      <c r="BX31" s="49">
        <v>0</v>
      </c>
      <c r="BY31" s="49">
        <v>0</v>
      </c>
      <c r="BZ31" s="49">
        <v>0</v>
      </c>
      <c r="CA31" s="49">
        <v>0</v>
      </c>
      <c r="CB31" s="49">
        <v>0</v>
      </c>
      <c r="CC31" s="49">
        <v>0</v>
      </c>
      <c r="CD31" s="49">
        <v>0</v>
      </c>
      <c r="CW31" s="52">
        <f>_xlfn.XLOOKUP(K31,[1]库销表!$F:$F,[1]库销表!$IE:$IE)</f>
        <v>0</v>
      </c>
      <c r="CX31" s="52">
        <f>_xlfn.XLOOKUP(K31,[1]库销表!$F:$F,[1]库销表!$IF:$IF)</f>
        <v>0</v>
      </c>
      <c r="CY31" s="105">
        <f>_xlfn.XLOOKUP(K31,[1]库销表!$F:$F,[1]库销表!$FL:$FL)</f>
        <v>0</v>
      </c>
      <c r="CZ31" s="52" t="e">
        <f>_xlfn.XLOOKUP(K31,数据更新表!E:E,数据更新表!F:F)</f>
        <v>#N/A</v>
      </c>
      <c r="DA31" s="52" t="e">
        <v>#N/A</v>
      </c>
      <c r="DB31" s="52" t="e">
        <f>_xlfn.XLOOKUP(K31,数据更新表!E:E,数据更新表!G:G)</f>
        <v>#N/A</v>
      </c>
      <c r="DC31" s="106">
        <f>_xlfn.XLOOKUP(L31,数据更新表!Z:Z,数据更新表!AH:AH)</f>
        <v>0</v>
      </c>
      <c r="DD31" s="49">
        <f>_xlfn.XLOOKUP(L31,数据更新表!Z:Z,数据更新表!AE:AE)</f>
        <v>0</v>
      </c>
      <c r="DE31" s="49">
        <f>_xlfn.XLOOKUP(L31,数据更新表!Z:Z,数据更新表!AF:AF)</f>
        <v>0</v>
      </c>
      <c r="DF31" s="49" t="e">
        <f>_xlfn.XLOOKUP(K31,数据更新表!Z:Z,数据更新表!AG:AG)</f>
        <v>#N/A</v>
      </c>
      <c r="DG31" s="49">
        <f>_xlfn.XLOOKUP(L31,数据更新表!Z:Z,数据更新表!AD:AD)</f>
        <v>0</v>
      </c>
      <c r="DH31" s="49">
        <f>_xlfn.XLOOKUP(L31,数据更新表!Z:Z,数据更新表!AA:AA)</f>
        <v>0</v>
      </c>
      <c r="DI31" s="49">
        <f>_xlfn.XLOOKUP(L31,数据更新表!Z:Z,数据更新表!AB:AB)</f>
        <v>0</v>
      </c>
      <c r="DJ31" s="49">
        <f>_xlfn.XLOOKUP(L31,数据更新表!Z:Z,数据更新表!AC:AC)</f>
        <v>0</v>
      </c>
      <c r="DK31" s="49">
        <f>_xlfn.XLOOKUP(L31,数据更新表!Z:Z,数据更新表!AI:AI)</f>
        <v>0</v>
      </c>
      <c r="DX31" s="98">
        <f>_xlfn.XLOOKUP(L31,数据更新表!J:J,数据更新表!L:L)</f>
        <v>0</v>
      </c>
      <c r="DY31" s="98">
        <f>_xlfn.XLOOKUP(L31,数据更新表!J:J,数据更新表!M:M)</f>
        <v>0</v>
      </c>
      <c r="DZ31" s="98">
        <v>43</v>
      </c>
      <c r="EA31" s="108">
        <f t="shared" si="21"/>
        <v>-1.21210239285436</v>
      </c>
      <c r="EB31" s="98">
        <f t="shared" si="7"/>
        <v>112.23</v>
      </c>
      <c r="EC31" s="109">
        <f t="shared" si="8"/>
        <v>-142.8676</v>
      </c>
      <c r="ED31" s="108" t="e">
        <f t="shared" si="9"/>
        <v>#DIV/0!</v>
      </c>
      <c r="EE31" s="110">
        <f t="shared" si="10"/>
        <v>5.6376</v>
      </c>
      <c r="EF31" s="98" t="str">
        <f t="shared" si="11"/>
        <v>否</v>
      </c>
      <c r="EG31" s="98">
        <f t="shared" si="12"/>
        <v>0</v>
      </c>
      <c r="EH31" s="98">
        <f t="shared" si="22"/>
        <v>0</v>
      </c>
      <c r="EI31" s="101">
        <f>IF(DX31&lt;=298,IF(DX31&lt;99,25,IF(DX31&lt;=149,30,IF(DX31&lt;=299,37,85))),IF(DX31&lt;=498,_xlfn.XLOOKUP(EQ31,运费表!A:A,运费表!C:C,"重量超限",-1),_xlfn.XLOOKUP(EQ31,运费表!A:A,运费表!D:D,"重量超限",-1)))</f>
        <v>25</v>
      </c>
      <c r="EJ31" s="101">
        <f t="shared" si="14"/>
        <v>0</v>
      </c>
      <c r="EK31" s="108" t="e">
        <v>#DIV/0!</v>
      </c>
      <c r="EL31" s="98">
        <v>0.34</v>
      </c>
      <c r="EM31" s="98"/>
      <c r="EN31" s="98"/>
      <c r="EO31" s="98"/>
      <c r="EP31" s="98">
        <f t="shared" si="23"/>
        <v>0.18</v>
      </c>
      <c r="EQ31" s="98">
        <f t="shared" si="24"/>
        <v>0.34</v>
      </c>
      <c r="ER31" s="98">
        <v>0.0009</v>
      </c>
    </row>
    <row r="32" hidden="1" customHeight="1" spans="2:148">
      <c r="B32" s="118" t="s">
        <v>159</v>
      </c>
      <c r="C32" s="98">
        <v>7</v>
      </c>
      <c r="D32" s="98">
        <v>16</v>
      </c>
      <c r="E32" s="99">
        <v>45953</v>
      </c>
      <c r="G32" s="98" t="s">
        <v>145</v>
      </c>
      <c r="H32" s="119" t="s">
        <v>160</v>
      </c>
      <c r="J32" s="100" t="s">
        <v>161</v>
      </c>
      <c r="K32" s="100" t="s">
        <v>162</v>
      </c>
      <c r="M32" s="106" t="s">
        <v>183</v>
      </c>
      <c r="N32" s="52">
        <f>_xlfn.XLOOKUP(L32,数据更新表!J:J,数据更新表!K:K)</f>
        <v>0</v>
      </c>
      <c r="O32" s="52">
        <f>IFERROR(_xlfn.XLOOKUP(K32,数据更新表!A:A,数据更新表!B:B),"0")</f>
        <v>30</v>
      </c>
      <c r="P32" s="52">
        <f>_xlfn.XLOOKUP(K32,[1]库销表!$F:$F,[1]库销表!$L:$L)</f>
        <v>0</v>
      </c>
      <c r="Q32" s="103" t="e">
        <f t="shared" si="0"/>
        <v>#N/A</v>
      </c>
      <c r="S32" s="49" t="e">
        <f>_xlfn.XLOOKUP(K32,数据更新表!R:R,数据更新表!S:S)</f>
        <v>#N/A</v>
      </c>
      <c r="T32" s="49" t="e">
        <f>_xlfn.XLOOKUP(K32,数据更新表!V:V,数据更新表!W:W)</f>
        <v>#N/A</v>
      </c>
      <c r="V32" s="104" t="str">
        <f t="shared" si="1"/>
        <v>0</v>
      </c>
      <c r="W32" s="98" t="e">
        <f t="shared" si="2"/>
        <v>#N/A</v>
      </c>
      <c r="X32" s="98">
        <f t="shared" si="3"/>
        <v>30</v>
      </c>
      <c r="AF32" s="49">
        <f t="shared" si="4"/>
        <v>0</v>
      </c>
      <c r="BI32" s="52"/>
      <c r="BR32" s="52"/>
      <c r="BS32" s="52">
        <f>_xlfn.XLOOKUP(K32,[1]库销表!$F:$F,[1]库销表!$L:$L)</f>
        <v>0</v>
      </c>
      <c r="BT32" s="52">
        <f t="shared" si="5"/>
        <v>0</v>
      </c>
      <c r="BU32" s="49" cm="1">
        <f t="array" ref="BU32:CD32">_xlfn.XLOOKUP(K32,[1]库销表!$F:$F,[1]库销表!$HT:$IC)</f>
        <v>0</v>
      </c>
      <c r="BV32" s="49">
        <v>0</v>
      </c>
      <c r="BW32" s="49">
        <v>0</v>
      </c>
      <c r="BX32" s="49">
        <v>0</v>
      </c>
      <c r="BY32" s="49">
        <v>0</v>
      </c>
      <c r="BZ32" s="49">
        <v>0</v>
      </c>
      <c r="CA32" s="49">
        <v>0</v>
      </c>
      <c r="CB32" s="49">
        <v>0</v>
      </c>
      <c r="CC32" s="49">
        <v>0</v>
      </c>
      <c r="CD32" s="49">
        <v>0</v>
      </c>
      <c r="CW32" s="52">
        <f>_xlfn.XLOOKUP(K32,[1]库销表!$F:$F,[1]库销表!$IE:$IE)</f>
        <v>0</v>
      </c>
      <c r="CX32" s="52">
        <f>_xlfn.XLOOKUP(K32,[1]库销表!$F:$F,[1]库销表!$IF:$IF)</f>
        <v>0</v>
      </c>
      <c r="CY32" s="105">
        <f>_xlfn.XLOOKUP(K32,[1]库销表!$F:$F,[1]库销表!$FL:$FL)</f>
        <v>0</v>
      </c>
      <c r="CZ32" s="52" t="e">
        <f>_xlfn.XLOOKUP(K32,数据更新表!E:E,数据更新表!F:F)</f>
        <v>#N/A</v>
      </c>
      <c r="DA32" s="52" t="e">
        <v>#N/A</v>
      </c>
      <c r="DB32" s="52" t="e">
        <f>_xlfn.XLOOKUP(K32,数据更新表!E:E,数据更新表!G:G)</f>
        <v>#N/A</v>
      </c>
      <c r="DC32" s="106">
        <f>_xlfn.XLOOKUP(L32,数据更新表!Z:Z,数据更新表!AH:AH)</f>
        <v>0</v>
      </c>
      <c r="DD32" s="49">
        <f>_xlfn.XLOOKUP(L32,数据更新表!Z:Z,数据更新表!AE:AE)</f>
        <v>0</v>
      </c>
      <c r="DE32" s="49">
        <f>_xlfn.XLOOKUP(L32,数据更新表!Z:Z,数据更新表!AF:AF)</f>
        <v>0</v>
      </c>
      <c r="DF32" s="49" t="e">
        <f>_xlfn.XLOOKUP(K32,数据更新表!Z:Z,数据更新表!AG:AG)</f>
        <v>#N/A</v>
      </c>
      <c r="DG32" s="49">
        <f>_xlfn.XLOOKUP(L32,数据更新表!Z:Z,数据更新表!AD:AD)</f>
        <v>0</v>
      </c>
      <c r="DH32" s="49">
        <f>_xlfn.XLOOKUP(L32,数据更新表!Z:Z,数据更新表!AA:AA)</f>
        <v>0</v>
      </c>
      <c r="DI32" s="49">
        <f>_xlfn.XLOOKUP(L32,数据更新表!Z:Z,数据更新表!AB:AB)</f>
        <v>0</v>
      </c>
      <c r="DJ32" s="49">
        <f>_xlfn.XLOOKUP(L32,数据更新表!Z:Z,数据更新表!AC:AC)</f>
        <v>0</v>
      </c>
      <c r="DK32" s="49">
        <f>_xlfn.XLOOKUP(L32,数据更新表!Z:Z,数据更新表!AI:AI)</f>
        <v>0</v>
      </c>
      <c r="DX32" s="98">
        <f>_xlfn.XLOOKUP(L32,数据更新表!J:J,数据更新表!L:L)</f>
        <v>0</v>
      </c>
      <c r="DY32" s="98">
        <f>_xlfn.XLOOKUP(L32,数据更新表!J:J,数据更新表!M:M)</f>
        <v>0</v>
      </c>
      <c r="DZ32" s="98">
        <v>57</v>
      </c>
      <c r="EA32" s="108">
        <f t="shared" si="21"/>
        <v>-1.15843827016843</v>
      </c>
      <c r="EB32" s="98">
        <f t="shared" si="7"/>
        <v>148.77</v>
      </c>
      <c r="EC32" s="109">
        <f t="shared" si="8"/>
        <v>-182.79016</v>
      </c>
      <c r="ED32" s="108" t="e">
        <f t="shared" si="9"/>
        <v>#DIV/0!</v>
      </c>
      <c r="EE32" s="110">
        <f t="shared" si="10"/>
        <v>9.02016</v>
      </c>
      <c r="EF32" s="98" t="str">
        <f t="shared" si="11"/>
        <v>否</v>
      </c>
      <c r="EG32" s="98">
        <f t="shared" si="12"/>
        <v>0</v>
      </c>
      <c r="EH32" s="98">
        <f t="shared" si="22"/>
        <v>0</v>
      </c>
      <c r="EI32" s="101">
        <f>IF(DX32&lt;=298,IF(DX32&lt;99,25,IF(DX32&lt;=149,30,IF(DX32&lt;=299,37,85))),IF(DX32&lt;=498,_xlfn.XLOOKUP(EQ32,运费表!A:A,运费表!C:C,"重量超限",-1),_xlfn.XLOOKUP(EQ32,运费表!A:A,运费表!D:D,"重量超限",-1)))</f>
        <v>25</v>
      </c>
      <c r="EJ32" s="101">
        <f t="shared" si="14"/>
        <v>0</v>
      </c>
      <c r="EK32" s="108" t="e">
        <v>#DIV/0!</v>
      </c>
      <c r="EL32" s="98">
        <v>0.3</v>
      </c>
      <c r="EM32" s="98"/>
      <c r="EN32" s="98"/>
      <c r="EO32" s="98"/>
      <c r="EP32" s="98">
        <f t="shared" si="23"/>
        <v>0.18</v>
      </c>
      <c r="EQ32" s="98">
        <f t="shared" si="24"/>
        <v>0.3</v>
      </c>
      <c r="ER32" s="98">
        <v>0.00144</v>
      </c>
    </row>
    <row r="33" hidden="1" customHeight="1" spans="2:148">
      <c r="B33" s="118" t="s">
        <v>167</v>
      </c>
      <c r="C33" s="98">
        <v>5</v>
      </c>
      <c r="D33" s="98">
        <v>10</v>
      </c>
      <c r="E33" s="99">
        <v>45953</v>
      </c>
      <c r="G33" s="98" t="s">
        <v>145</v>
      </c>
      <c r="H33" s="119" t="s">
        <v>168</v>
      </c>
      <c r="J33" s="100" t="s">
        <v>169</v>
      </c>
      <c r="K33" s="100" t="s">
        <v>170</v>
      </c>
      <c r="M33" s="106" t="s">
        <v>183</v>
      </c>
      <c r="N33" s="52">
        <f>_xlfn.XLOOKUP(L33,数据更新表!J:J,数据更新表!K:K)</f>
        <v>0</v>
      </c>
      <c r="O33" s="52">
        <f>IFERROR(_xlfn.XLOOKUP(K33,数据更新表!A:A,数据更新表!B:B),"0")</f>
        <v>27</v>
      </c>
      <c r="P33" s="52">
        <f>_xlfn.XLOOKUP(K33,[1]库销表!$F:$F,[1]库销表!$L:$L)</f>
        <v>0</v>
      </c>
      <c r="Q33" s="103">
        <f t="shared" si="0"/>
        <v>189</v>
      </c>
      <c r="S33" s="49" t="e">
        <f>_xlfn.XLOOKUP(K33,数据更新表!R:R,数据更新表!S:S)</f>
        <v>#N/A</v>
      </c>
      <c r="T33" s="49" t="e">
        <f>_xlfn.XLOOKUP(K33,数据更新表!V:V,数据更新表!W:W)</f>
        <v>#N/A</v>
      </c>
      <c r="V33" s="104">
        <f t="shared" si="1"/>
        <v>189</v>
      </c>
      <c r="W33" s="98">
        <f t="shared" si="2"/>
        <v>0.142857142857143</v>
      </c>
      <c r="X33" s="98">
        <f t="shared" si="3"/>
        <v>27</v>
      </c>
      <c r="AF33" s="49">
        <f t="shared" si="4"/>
        <v>0</v>
      </c>
      <c r="BI33" s="52"/>
      <c r="BR33" s="52"/>
      <c r="BS33" s="52">
        <f>_xlfn.XLOOKUP(K33,[1]库销表!$F:$F,[1]库销表!$L:$L)</f>
        <v>0</v>
      </c>
      <c r="BT33" s="52">
        <f t="shared" si="5"/>
        <v>0</v>
      </c>
      <c r="BU33" s="49" cm="1">
        <f t="array" ref="BU33:CD33">_xlfn.XLOOKUP(K33,[1]库销表!$F:$F,[1]库销表!$HT:$IC)</f>
        <v>0</v>
      </c>
      <c r="BV33" s="49">
        <v>0</v>
      </c>
      <c r="BW33" s="49">
        <v>0</v>
      </c>
      <c r="BX33" s="49">
        <v>0</v>
      </c>
      <c r="BY33" s="49">
        <v>0</v>
      </c>
      <c r="BZ33" s="49">
        <v>0</v>
      </c>
      <c r="CA33" s="49">
        <v>0</v>
      </c>
      <c r="CB33" s="49">
        <v>0</v>
      </c>
      <c r="CC33" s="49">
        <v>0</v>
      </c>
      <c r="CD33" s="49">
        <v>0</v>
      </c>
      <c r="CW33" s="52">
        <f>_xlfn.XLOOKUP(K33,[1]库销表!$F:$F,[1]库销表!$IE:$IE)</f>
        <v>0</v>
      </c>
      <c r="CX33" s="52">
        <f>_xlfn.XLOOKUP(K33,[1]库销表!$F:$F,[1]库销表!$IF:$IF)</f>
        <v>0</v>
      </c>
      <c r="CY33" s="105">
        <f>_xlfn.XLOOKUP(K33,[1]库销表!$F:$F,[1]库销表!$FL:$FL)</f>
        <v>0</v>
      </c>
      <c r="CZ33" s="52">
        <f>_xlfn.XLOOKUP(K33,数据更新表!E:E,数据更新表!F:F)</f>
        <v>1</v>
      </c>
      <c r="DA33" s="52" t="e">
        <v>#N/A</v>
      </c>
      <c r="DB33" s="52">
        <f>_xlfn.XLOOKUP(K33,数据更新表!E:E,数据更新表!G:G)</f>
        <v>0</v>
      </c>
      <c r="DC33" s="106">
        <f>_xlfn.XLOOKUP(L33,数据更新表!Z:Z,数据更新表!AH:AH)</f>
        <v>0</v>
      </c>
      <c r="DD33" s="49">
        <f>_xlfn.XLOOKUP(L33,数据更新表!Z:Z,数据更新表!AE:AE)</f>
        <v>0</v>
      </c>
      <c r="DE33" s="49">
        <f>_xlfn.XLOOKUP(L33,数据更新表!Z:Z,数据更新表!AF:AF)</f>
        <v>0</v>
      </c>
      <c r="DF33" s="49" t="e">
        <f>_xlfn.XLOOKUP(K33,数据更新表!Z:Z,数据更新表!AG:AG)</f>
        <v>#N/A</v>
      </c>
      <c r="DG33" s="49">
        <f>_xlfn.XLOOKUP(L33,数据更新表!Z:Z,数据更新表!AD:AD)</f>
        <v>0</v>
      </c>
      <c r="DH33" s="49">
        <f>_xlfn.XLOOKUP(L33,数据更新表!Z:Z,数据更新表!AA:AA)</f>
        <v>0</v>
      </c>
      <c r="DI33" s="49">
        <f>_xlfn.XLOOKUP(L33,数据更新表!Z:Z,数据更新表!AB:AB)</f>
        <v>0</v>
      </c>
      <c r="DJ33" s="49">
        <f>_xlfn.XLOOKUP(L33,数据更新表!Z:Z,数据更新表!AC:AC)</f>
        <v>0</v>
      </c>
      <c r="DK33" s="49">
        <f>_xlfn.XLOOKUP(L33,数据更新表!Z:Z,数据更新表!AI:AI)</f>
        <v>0</v>
      </c>
      <c r="DX33" s="98">
        <f>_xlfn.XLOOKUP(L33,数据更新表!J:J,数据更新表!L:L)</f>
        <v>0</v>
      </c>
      <c r="DY33" s="98">
        <f>_xlfn.XLOOKUP(L33,数据更新表!J:J,数据更新表!M:M)</f>
        <v>0</v>
      </c>
      <c r="DZ33" s="98">
        <v>65</v>
      </c>
      <c r="EA33" s="108">
        <f t="shared" si="21"/>
        <v>-1.14262275255067</v>
      </c>
      <c r="EB33" s="98">
        <f t="shared" si="7"/>
        <v>169.65</v>
      </c>
      <c r="EC33" s="109">
        <f t="shared" si="8"/>
        <v>-200.2876</v>
      </c>
      <c r="ED33" s="108" t="e">
        <f t="shared" si="9"/>
        <v>#DIV/0!</v>
      </c>
      <c r="EE33" s="110">
        <f t="shared" si="10"/>
        <v>5.6376</v>
      </c>
      <c r="EF33" s="98" t="str">
        <f t="shared" si="11"/>
        <v>否</v>
      </c>
      <c r="EG33" s="98">
        <f t="shared" si="12"/>
        <v>0</v>
      </c>
      <c r="EH33" s="98">
        <f t="shared" si="22"/>
        <v>0</v>
      </c>
      <c r="EI33" s="101">
        <f>IF(DX33&lt;=298,IF(DX33&lt;99,25,IF(DX33&lt;=149,30,IF(DX33&lt;=299,37,85))),IF(DX33&lt;=498,_xlfn.XLOOKUP(EQ33,运费表!A:A,运费表!C:C,"重量超限",-1),_xlfn.XLOOKUP(EQ33,运费表!A:A,运费表!D:D,"重量超限",-1)))</f>
        <v>25</v>
      </c>
      <c r="EJ33" s="101">
        <f t="shared" si="14"/>
        <v>0</v>
      </c>
      <c r="EK33" s="108" t="e">
        <v>#DIV/0!</v>
      </c>
      <c r="EL33" s="98">
        <v>0.38</v>
      </c>
      <c r="EM33" s="98"/>
      <c r="EN33" s="98"/>
      <c r="EO33" s="98"/>
      <c r="EP33" s="98">
        <f t="shared" si="23"/>
        <v>0.18</v>
      </c>
      <c r="EQ33" s="98">
        <f t="shared" si="24"/>
        <v>0.38</v>
      </c>
      <c r="ER33" s="98">
        <v>0.0009</v>
      </c>
    </row>
    <row r="34" hidden="1" customHeight="1" spans="2:148">
      <c r="B34" s="118" t="s">
        <v>172</v>
      </c>
      <c r="C34" s="98">
        <v>5</v>
      </c>
      <c r="D34" s="98">
        <v>14</v>
      </c>
      <c r="E34" s="99">
        <v>45953</v>
      </c>
      <c r="G34" s="98" t="s">
        <v>145</v>
      </c>
      <c r="H34" s="119" t="s">
        <v>173</v>
      </c>
      <c r="J34" s="100" t="s">
        <v>174</v>
      </c>
      <c r="K34" s="100" t="s">
        <v>175</v>
      </c>
      <c r="M34" s="106" t="s">
        <v>183</v>
      </c>
      <c r="N34" s="52">
        <f>_xlfn.XLOOKUP(L34,数据更新表!J:J,数据更新表!K:K)</f>
        <v>0</v>
      </c>
      <c r="O34" s="52">
        <f>IFERROR(_xlfn.XLOOKUP(K34,数据更新表!A:A,数据更新表!B:B),"0")</f>
        <v>19</v>
      </c>
      <c r="P34" s="52">
        <f>_xlfn.XLOOKUP(K34,[1]库销表!$F:$F,[1]库销表!$L:$L)</f>
        <v>0</v>
      </c>
      <c r="Q34" s="103" t="e">
        <f t="shared" si="0"/>
        <v>#N/A</v>
      </c>
      <c r="S34" s="49" t="e">
        <f>_xlfn.XLOOKUP(K34,数据更新表!R:R,数据更新表!S:S)</f>
        <v>#N/A</v>
      </c>
      <c r="T34" s="49" t="e">
        <f>_xlfn.XLOOKUP(K34,数据更新表!V:V,数据更新表!W:W)</f>
        <v>#N/A</v>
      </c>
      <c r="V34" s="104" t="str">
        <f t="shared" si="1"/>
        <v>0</v>
      </c>
      <c r="W34" s="98" t="e">
        <f t="shared" si="2"/>
        <v>#N/A</v>
      </c>
      <c r="X34" s="98">
        <f t="shared" si="3"/>
        <v>19</v>
      </c>
      <c r="AF34" s="49">
        <f t="shared" si="4"/>
        <v>0</v>
      </c>
      <c r="BI34" s="52"/>
      <c r="BR34" s="52"/>
      <c r="BS34" s="52">
        <f>_xlfn.XLOOKUP(K34,[1]库销表!$F:$F,[1]库销表!$L:$L)</f>
        <v>0</v>
      </c>
      <c r="BT34" s="52">
        <f t="shared" si="5"/>
        <v>0</v>
      </c>
      <c r="BU34" s="49" cm="1">
        <f t="array" ref="BU34:CD34">_xlfn.XLOOKUP(K34,[1]库销表!$F:$F,[1]库销表!$HT:$IC)</f>
        <v>0</v>
      </c>
      <c r="BV34" s="49">
        <v>0</v>
      </c>
      <c r="BW34" s="49">
        <v>0</v>
      </c>
      <c r="BX34" s="49">
        <v>0</v>
      </c>
      <c r="BY34" s="49">
        <v>0</v>
      </c>
      <c r="BZ34" s="49">
        <v>0</v>
      </c>
      <c r="CA34" s="49">
        <v>0</v>
      </c>
      <c r="CB34" s="49">
        <v>0</v>
      </c>
      <c r="CC34" s="49">
        <v>0</v>
      </c>
      <c r="CD34" s="49">
        <v>0</v>
      </c>
      <c r="CW34" s="52">
        <f>_xlfn.XLOOKUP(K34,[1]库销表!$F:$F,[1]库销表!$IE:$IE)</f>
        <v>0</v>
      </c>
      <c r="CX34" s="52">
        <f>_xlfn.XLOOKUP(K34,[1]库销表!$F:$F,[1]库销表!$IF:$IF)</f>
        <v>0</v>
      </c>
      <c r="CY34" s="105">
        <f>_xlfn.XLOOKUP(K34,[1]库销表!$F:$F,[1]库销表!$FL:$FL)</f>
        <v>0</v>
      </c>
      <c r="CZ34" s="52" t="e">
        <f>_xlfn.XLOOKUP(K34,数据更新表!E:E,数据更新表!F:F)</f>
        <v>#N/A</v>
      </c>
      <c r="DA34" s="52" t="e">
        <v>#N/A</v>
      </c>
      <c r="DB34" s="52" t="e">
        <f>_xlfn.XLOOKUP(K34,数据更新表!E:E,数据更新表!G:G)</f>
        <v>#N/A</v>
      </c>
      <c r="DC34" s="106">
        <f>_xlfn.XLOOKUP(L34,数据更新表!Z:Z,数据更新表!AH:AH)</f>
        <v>0</v>
      </c>
      <c r="DD34" s="49">
        <f>_xlfn.XLOOKUP(L34,数据更新表!Z:Z,数据更新表!AE:AE)</f>
        <v>0</v>
      </c>
      <c r="DE34" s="49">
        <f>_xlfn.XLOOKUP(L34,数据更新表!Z:Z,数据更新表!AF:AF)</f>
        <v>0</v>
      </c>
      <c r="DF34" s="49" t="e">
        <f>_xlfn.XLOOKUP(K34,数据更新表!Z:Z,数据更新表!AG:AG)</f>
        <v>#N/A</v>
      </c>
      <c r="DG34" s="49">
        <f>_xlfn.XLOOKUP(L34,数据更新表!Z:Z,数据更新表!AD:AD)</f>
        <v>0</v>
      </c>
      <c r="DH34" s="49">
        <f>_xlfn.XLOOKUP(L34,数据更新表!Z:Z,数据更新表!AA:AA)</f>
        <v>0</v>
      </c>
      <c r="DI34" s="49">
        <f>_xlfn.XLOOKUP(L34,数据更新表!Z:Z,数据更新表!AB:AB)</f>
        <v>0</v>
      </c>
      <c r="DJ34" s="49">
        <f>_xlfn.XLOOKUP(L34,数据更新表!Z:Z,数据更新表!AC:AC)</f>
        <v>0</v>
      </c>
      <c r="DK34" s="49">
        <f>_xlfn.XLOOKUP(L34,数据更新表!Z:Z,数据更新表!AI:AI)</f>
        <v>0</v>
      </c>
      <c r="DX34" s="98">
        <f>_xlfn.XLOOKUP(L34,数据更新表!J:J,数据更新表!L:L)</f>
        <v>0</v>
      </c>
      <c r="DY34" s="98">
        <f>_xlfn.XLOOKUP(L34,数据更新表!J:J,数据更新表!M:M)</f>
        <v>0</v>
      </c>
      <c r="DZ34" s="98">
        <v>85</v>
      </c>
      <c r="EA34" s="108">
        <f t="shared" si="21"/>
        <v>-1.10989609983138</v>
      </c>
      <c r="EB34" s="98">
        <f t="shared" si="7"/>
        <v>221.85</v>
      </c>
      <c r="EC34" s="109">
        <f t="shared" si="8"/>
        <v>-252.4876</v>
      </c>
      <c r="ED34" s="108" t="e">
        <f t="shared" si="9"/>
        <v>#DIV/0!</v>
      </c>
      <c r="EE34" s="110">
        <f t="shared" si="10"/>
        <v>5.6376</v>
      </c>
      <c r="EF34" s="98" t="str">
        <f t="shared" si="11"/>
        <v>否</v>
      </c>
      <c r="EG34" s="98">
        <f t="shared" si="12"/>
        <v>0</v>
      </c>
      <c r="EH34" s="98">
        <f t="shared" si="22"/>
        <v>0</v>
      </c>
      <c r="EI34" s="101">
        <f>IF(DX34&lt;=298,IF(DX34&lt;99,25,IF(DX34&lt;=149,30,IF(DX34&lt;=299,37,85))),IF(DX34&lt;=498,_xlfn.XLOOKUP(EQ34,运费表!A:A,运费表!C:C,"重量超限",-1),_xlfn.XLOOKUP(EQ34,运费表!A:A,运费表!D:D,"重量超限",-1)))</f>
        <v>25</v>
      </c>
      <c r="EJ34" s="101">
        <f t="shared" si="14"/>
        <v>0</v>
      </c>
      <c r="EK34" s="108" t="e">
        <v>#DIV/0!</v>
      </c>
      <c r="EL34" s="98">
        <v>0.46</v>
      </c>
      <c r="EM34" s="98"/>
      <c r="EN34" s="98"/>
      <c r="EO34" s="98"/>
      <c r="EP34" s="98">
        <f t="shared" si="23"/>
        <v>0.18</v>
      </c>
      <c r="EQ34" s="98">
        <f t="shared" si="24"/>
        <v>0.46</v>
      </c>
      <c r="ER34" s="98">
        <v>0.0009</v>
      </c>
    </row>
    <row r="35" hidden="1" customHeight="1" spans="2:148">
      <c r="B35" s="118" t="s">
        <v>178</v>
      </c>
      <c r="C35" s="98">
        <v>11</v>
      </c>
      <c r="D35" s="98">
        <v>23</v>
      </c>
      <c r="E35" s="99">
        <v>45943</v>
      </c>
      <c r="G35" s="98" t="s">
        <v>179</v>
      </c>
      <c r="H35" s="119" t="s">
        <v>180</v>
      </c>
      <c r="J35" s="100" t="s">
        <v>181</v>
      </c>
      <c r="K35" s="100" t="s">
        <v>182</v>
      </c>
      <c r="M35" s="106" t="s">
        <v>183</v>
      </c>
      <c r="N35" s="52">
        <f>_xlfn.XLOOKUP(L35,数据更新表!J:J,数据更新表!K:K)</f>
        <v>0</v>
      </c>
      <c r="O35" s="52" t="str">
        <f>IFERROR(_xlfn.XLOOKUP(K35,数据更新表!A:A,数据更新表!B:B),"0")</f>
        <v>0</v>
      </c>
      <c r="P35" s="52">
        <f>_xlfn.XLOOKUP(K35,[1]库销表!$F:$F,[1]库销表!$L:$L)</f>
        <v>0</v>
      </c>
      <c r="Q35" s="103" t="e">
        <f t="shared" si="0"/>
        <v>#N/A</v>
      </c>
      <c r="S35" s="49" t="e">
        <f>_xlfn.XLOOKUP(K35,数据更新表!R:R,数据更新表!S:S)</f>
        <v>#N/A</v>
      </c>
      <c r="T35" s="49" t="e">
        <f>_xlfn.XLOOKUP(K35,数据更新表!V:V,数据更新表!W:W)</f>
        <v>#N/A</v>
      </c>
      <c r="V35" s="104" t="str">
        <f t="shared" si="1"/>
        <v>0</v>
      </c>
      <c r="W35" s="98" t="e">
        <f t="shared" si="2"/>
        <v>#N/A</v>
      </c>
      <c r="X35" s="98">
        <f t="shared" si="3"/>
        <v>0</v>
      </c>
      <c r="AF35" s="49">
        <f t="shared" si="4"/>
        <v>0</v>
      </c>
      <c r="BI35" s="52"/>
      <c r="BR35" s="52"/>
      <c r="BS35" s="52">
        <f>_xlfn.XLOOKUP(K35,[1]库销表!$F:$F,[1]库销表!$L:$L)</f>
        <v>0</v>
      </c>
      <c r="BT35" s="52">
        <f t="shared" si="5"/>
        <v>0</v>
      </c>
      <c r="BU35" s="49" cm="1">
        <f t="array" ref="BU35:CD35">_xlfn.XLOOKUP(K35,[1]库销表!$F:$F,[1]库销表!$HT:$IC)</f>
        <v>0</v>
      </c>
      <c r="BV35" s="49">
        <v>0</v>
      </c>
      <c r="BW35" s="49">
        <v>0</v>
      </c>
      <c r="BX35" s="49">
        <v>0</v>
      </c>
      <c r="BY35" s="49">
        <v>0</v>
      </c>
      <c r="BZ35" s="49">
        <v>0</v>
      </c>
      <c r="CA35" s="49">
        <v>0</v>
      </c>
      <c r="CB35" s="49">
        <v>0</v>
      </c>
      <c r="CC35" s="49">
        <v>0</v>
      </c>
      <c r="CD35" s="49">
        <v>0</v>
      </c>
      <c r="CW35" s="52">
        <f>_xlfn.XLOOKUP(K35,[1]库销表!$F:$F,[1]库销表!$IE:$IE)</f>
        <v>0</v>
      </c>
      <c r="CX35" s="52">
        <f>_xlfn.XLOOKUP(K35,[1]库销表!$F:$F,[1]库销表!$IF:$IF)</f>
        <v>0</v>
      </c>
      <c r="CY35" s="105">
        <f>_xlfn.XLOOKUP(K35,[1]库销表!$F:$F,[1]库销表!$FL:$FL)</f>
        <v>0</v>
      </c>
      <c r="CZ35" s="52" t="e">
        <f>_xlfn.XLOOKUP(K35,数据更新表!E:E,数据更新表!F:F)</f>
        <v>#N/A</v>
      </c>
      <c r="DA35" s="52" t="e">
        <v>#N/A</v>
      </c>
      <c r="DB35" s="52" t="e">
        <f>_xlfn.XLOOKUP(K35,数据更新表!E:E,数据更新表!G:G)</f>
        <v>#N/A</v>
      </c>
      <c r="DC35" s="106">
        <f>_xlfn.XLOOKUP(L35,数据更新表!Z:Z,数据更新表!AH:AH)</f>
        <v>0</v>
      </c>
      <c r="DD35" s="49">
        <f>_xlfn.XLOOKUP(L35,数据更新表!Z:Z,数据更新表!AE:AE)</f>
        <v>0</v>
      </c>
      <c r="DE35" s="49">
        <f>_xlfn.XLOOKUP(L35,数据更新表!Z:Z,数据更新表!AF:AF)</f>
        <v>0</v>
      </c>
      <c r="DF35" s="49" t="e">
        <f>_xlfn.XLOOKUP(K35,数据更新表!Z:Z,数据更新表!AG:AG)</f>
        <v>#N/A</v>
      </c>
      <c r="DG35" s="49">
        <f>_xlfn.XLOOKUP(L35,数据更新表!Z:Z,数据更新表!AD:AD)</f>
        <v>0</v>
      </c>
      <c r="DH35" s="49">
        <f>_xlfn.XLOOKUP(L35,数据更新表!Z:Z,数据更新表!AA:AA)</f>
        <v>0</v>
      </c>
      <c r="DI35" s="49">
        <f>_xlfn.XLOOKUP(L35,数据更新表!Z:Z,数据更新表!AB:AB)</f>
        <v>0</v>
      </c>
      <c r="DJ35" s="49">
        <f>_xlfn.XLOOKUP(L35,数据更新表!Z:Z,数据更新表!AC:AC)</f>
        <v>0</v>
      </c>
      <c r="DK35" s="49">
        <f>_xlfn.XLOOKUP(L35,数据更新表!Z:Z,数据更新表!AI:AI)</f>
        <v>0</v>
      </c>
      <c r="DX35" s="98">
        <f>_xlfn.XLOOKUP(L35,数据更新表!J:J,数据更新表!L:L)</f>
        <v>0</v>
      </c>
      <c r="DY35" s="98">
        <f>_xlfn.XLOOKUP(L35,数据更新表!J:J,数据更新表!M:M)</f>
        <v>0</v>
      </c>
      <c r="DZ35" s="120">
        <v>265</v>
      </c>
      <c r="EA35" s="108">
        <f t="shared" si="21"/>
        <v>-1.03284372535078</v>
      </c>
      <c r="EB35" s="98">
        <f t="shared" si="7"/>
        <v>691.65</v>
      </c>
      <c r="EC35" s="109">
        <f t="shared" si="8"/>
        <v>-786.1804</v>
      </c>
      <c r="ED35" s="108" t="e">
        <f t="shared" si="9"/>
        <v>#DIV/0!</v>
      </c>
      <c r="EE35" s="110">
        <f t="shared" si="10"/>
        <v>69.5304</v>
      </c>
      <c r="EF35" s="98" t="str">
        <f t="shared" si="11"/>
        <v>否</v>
      </c>
      <c r="EG35" s="98">
        <f t="shared" si="12"/>
        <v>0</v>
      </c>
      <c r="EH35" s="98">
        <f t="shared" si="22"/>
        <v>0</v>
      </c>
      <c r="EI35" s="101">
        <f>IF(DX35&lt;=298,IF(DX35&lt;99,25,IF(DX35&lt;=149,30,IF(DX35&lt;=299,37,85))),IF(DX35&lt;=498,_xlfn.XLOOKUP(EQ35,运费表!A:A,运费表!C:C,"重量超限",-1),_xlfn.XLOOKUP(EQ35,运费表!A:A,运费表!D:D,"重量超限",-1)))</f>
        <v>25</v>
      </c>
      <c r="EJ35" s="101">
        <f t="shared" si="14"/>
        <v>0</v>
      </c>
      <c r="EK35" s="115" t="e">
        <v>#DIV/0!</v>
      </c>
      <c r="EL35" s="106">
        <v>6.55</v>
      </c>
      <c r="EM35" s="121">
        <v>25</v>
      </c>
      <c r="EN35" s="121">
        <v>24</v>
      </c>
      <c r="EO35" s="121">
        <v>18.5</v>
      </c>
      <c r="EP35" s="98">
        <f t="shared" ref="EP35:EP69" si="25">EM35*EN35*EO35/5000</f>
        <v>2.22</v>
      </c>
      <c r="EQ35" s="98">
        <f t="shared" si="24"/>
        <v>6.55</v>
      </c>
      <c r="ER35" s="98">
        <f t="shared" ref="ER35:ER69" si="26">EM35*EN35*EO35/1000000</f>
        <v>0.0111</v>
      </c>
    </row>
    <row r="36" hidden="1" customHeight="1" spans="2:148">
      <c r="B36" s="118" t="s">
        <v>184</v>
      </c>
      <c r="C36" s="98">
        <v>13</v>
      </c>
      <c r="D36" s="98">
        <v>30</v>
      </c>
      <c r="E36" s="99">
        <v>45943</v>
      </c>
      <c r="G36" s="98" t="s">
        <v>179</v>
      </c>
      <c r="H36" s="119" t="s">
        <v>185</v>
      </c>
      <c r="J36" s="100" t="s">
        <v>186</v>
      </c>
      <c r="K36" s="100" t="s">
        <v>187</v>
      </c>
      <c r="M36" s="106" t="s">
        <v>183</v>
      </c>
      <c r="N36" s="52">
        <f>_xlfn.XLOOKUP(L36,数据更新表!J:J,数据更新表!K:K)</f>
        <v>0</v>
      </c>
      <c r="O36" s="52" t="str">
        <f>IFERROR(_xlfn.XLOOKUP(K36,数据更新表!A:A,数据更新表!B:B),"0")</f>
        <v>0</v>
      </c>
      <c r="P36" s="52">
        <f>_xlfn.XLOOKUP(K36,[1]库销表!$F:$F,[1]库销表!$L:$L)</f>
        <v>0</v>
      </c>
      <c r="Q36" s="103" t="e">
        <f t="shared" si="0"/>
        <v>#N/A</v>
      </c>
      <c r="S36" s="49" t="e">
        <f>_xlfn.XLOOKUP(K36,数据更新表!R:R,数据更新表!S:S)</f>
        <v>#N/A</v>
      </c>
      <c r="T36" s="49" t="e">
        <f>_xlfn.XLOOKUP(K36,数据更新表!V:V,数据更新表!W:W)</f>
        <v>#N/A</v>
      </c>
      <c r="V36" s="104" t="str">
        <f t="shared" si="1"/>
        <v>0</v>
      </c>
      <c r="W36" s="98" t="e">
        <f t="shared" si="2"/>
        <v>#N/A</v>
      </c>
      <c r="X36" s="98">
        <f t="shared" si="3"/>
        <v>0</v>
      </c>
      <c r="AF36" s="49">
        <f t="shared" si="4"/>
        <v>0</v>
      </c>
      <c r="BI36" s="52"/>
      <c r="BR36" s="52"/>
      <c r="BS36" s="52">
        <f>_xlfn.XLOOKUP(K36,[1]库销表!$F:$F,[1]库销表!$L:$L)</f>
        <v>0</v>
      </c>
      <c r="BT36" s="52">
        <f t="shared" si="5"/>
        <v>0</v>
      </c>
      <c r="BU36" s="49" cm="1">
        <f t="array" ref="BU36:CD36">_xlfn.XLOOKUP(K36,[1]库销表!$F:$F,[1]库销表!$HT:$IC)</f>
        <v>0</v>
      </c>
      <c r="BV36" s="49">
        <v>0</v>
      </c>
      <c r="BW36" s="49">
        <v>0</v>
      </c>
      <c r="BX36" s="49">
        <v>0</v>
      </c>
      <c r="BY36" s="49">
        <v>0</v>
      </c>
      <c r="BZ36" s="49">
        <v>0</v>
      </c>
      <c r="CA36" s="49">
        <v>0</v>
      </c>
      <c r="CB36" s="49">
        <v>0</v>
      </c>
      <c r="CC36" s="49">
        <v>0</v>
      </c>
      <c r="CD36" s="49">
        <v>0</v>
      </c>
      <c r="CW36" s="52">
        <f>_xlfn.XLOOKUP(K36,[1]库销表!$F:$F,[1]库销表!$IE:$IE)</f>
        <v>0</v>
      </c>
      <c r="CX36" s="52">
        <f>_xlfn.XLOOKUP(K36,[1]库销表!$F:$F,[1]库销表!$IF:$IF)</f>
        <v>0</v>
      </c>
      <c r="CY36" s="105">
        <f>_xlfn.XLOOKUP(K36,[1]库销表!$F:$F,[1]库销表!$FL:$FL)</f>
        <v>0</v>
      </c>
      <c r="CZ36" s="52" t="e">
        <f>_xlfn.XLOOKUP(K36,数据更新表!E:E,数据更新表!F:F)</f>
        <v>#N/A</v>
      </c>
      <c r="DA36" s="52" t="e">
        <v>#N/A</v>
      </c>
      <c r="DB36" s="52" t="e">
        <f>_xlfn.XLOOKUP(K36,数据更新表!E:E,数据更新表!G:G)</f>
        <v>#N/A</v>
      </c>
      <c r="DC36" s="106">
        <f>_xlfn.XLOOKUP(L36,数据更新表!Z:Z,数据更新表!AH:AH)</f>
        <v>0</v>
      </c>
      <c r="DD36" s="49">
        <f>_xlfn.XLOOKUP(L36,数据更新表!Z:Z,数据更新表!AE:AE)</f>
        <v>0</v>
      </c>
      <c r="DE36" s="49">
        <f>_xlfn.XLOOKUP(L36,数据更新表!Z:Z,数据更新表!AF:AF)</f>
        <v>0</v>
      </c>
      <c r="DF36" s="49" t="e">
        <f>_xlfn.XLOOKUP(K36,数据更新表!Z:Z,数据更新表!AG:AG)</f>
        <v>#N/A</v>
      </c>
      <c r="DG36" s="49">
        <f>_xlfn.XLOOKUP(L36,数据更新表!Z:Z,数据更新表!AD:AD)</f>
        <v>0</v>
      </c>
      <c r="DH36" s="49">
        <f>_xlfn.XLOOKUP(L36,数据更新表!Z:Z,数据更新表!AA:AA)</f>
        <v>0</v>
      </c>
      <c r="DI36" s="49">
        <f>_xlfn.XLOOKUP(L36,数据更新表!Z:Z,数据更新表!AB:AB)</f>
        <v>0</v>
      </c>
      <c r="DJ36" s="49">
        <f>_xlfn.XLOOKUP(L36,数据更新表!Z:Z,数据更新表!AC:AC)</f>
        <v>0</v>
      </c>
      <c r="DK36" s="49">
        <f>_xlfn.XLOOKUP(L36,数据更新表!Z:Z,数据更新表!AI:AI)</f>
        <v>0</v>
      </c>
      <c r="DX36" s="98">
        <f>_xlfn.XLOOKUP(L36,数据更新表!J:J,数据更新表!L:L)</f>
        <v>0</v>
      </c>
      <c r="DY36" s="98">
        <f>_xlfn.XLOOKUP(L36,数据更新表!J:J,数据更新表!M:M)</f>
        <v>0</v>
      </c>
      <c r="DZ36" s="120">
        <v>265</v>
      </c>
      <c r="EA36" s="108">
        <f t="shared" si="21"/>
        <v>-1.03284372535078</v>
      </c>
      <c r="EB36" s="98">
        <f t="shared" si="7"/>
        <v>691.65</v>
      </c>
      <c r="EC36" s="109">
        <f t="shared" si="8"/>
        <v>-786.1804</v>
      </c>
      <c r="ED36" s="108" t="e">
        <f t="shared" si="9"/>
        <v>#DIV/0!</v>
      </c>
      <c r="EE36" s="110">
        <f t="shared" si="10"/>
        <v>69.5304</v>
      </c>
      <c r="EF36" s="98" t="str">
        <f t="shared" si="11"/>
        <v>否</v>
      </c>
      <c r="EG36" s="98">
        <f t="shared" si="12"/>
        <v>0</v>
      </c>
      <c r="EH36" s="98">
        <f t="shared" si="22"/>
        <v>0</v>
      </c>
      <c r="EI36" s="101">
        <f>IF(DX36&lt;=298,IF(DX36&lt;99,25,IF(DX36&lt;=149,30,IF(DX36&lt;=299,37,85))),IF(DX36&lt;=498,_xlfn.XLOOKUP(EQ36,运费表!A:A,运费表!C:C,"重量超限",-1),_xlfn.XLOOKUP(EQ36,运费表!A:A,运费表!D:D,"重量超限",-1)))</f>
        <v>25</v>
      </c>
      <c r="EJ36" s="101">
        <f t="shared" si="14"/>
        <v>0</v>
      </c>
      <c r="EK36" s="115" t="e">
        <v>#DIV/0!</v>
      </c>
      <c r="EL36" s="106">
        <v>7.5</v>
      </c>
      <c r="EM36" s="121">
        <v>25</v>
      </c>
      <c r="EN36" s="121">
        <v>24</v>
      </c>
      <c r="EO36" s="121">
        <v>18.5</v>
      </c>
      <c r="EP36" s="98">
        <f t="shared" si="25"/>
        <v>2.22</v>
      </c>
      <c r="EQ36" s="98">
        <f t="shared" si="24"/>
        <v>7.5</v>
      </c>
      <c r="ER36" s="98">
        <f t="shared" si="26"/>
        <v>0.0111</v>
      </c>
    </row>
    <row r="37" hidden="1" customHeight="1" spans="2:148">
      <c r="B37" s="118" t="s">
        <v>665</v>
      </c>
      <c r="C37" s="98">
        <v>10</v>
      </c>
      <c r="D37" s="98">
        <v>22</v>
      </c>
      <c r="E37" s="99">
        <v>45953</v>
      </c>
      <c r="G37" s="98" t="s">
        <v>189</v>
      </c>
      <c r="H37" s="116" t="s">
        <v>190</v>
      </c>
      <c r="J37" s="100" t="s">
        <v>666</v>
      </c>
      <c r="K37" s="100" t="s">
        <v>192</v>
      </c>
      <c r="M37" s="106" t="s">
        <v>183</v>
      </c>
      <c r="N37" s="52">
        <f>_xlfn.XLOOKUP(L37,数据更新表!J:J,数据更新表!K:K)</f>
        <v>0</v>
      </c>
      <c r="O37" s="52">
        <f>IFERROR(_xlfn.XLOOKUP(K37,数据更新表!A:A,数据更新表!B:B),"0")</f>
        <v>49</v>
      </c>
      <c r="P37" s="52">
        <f>_xlfn.XLOOKUP(K37,[1]库销表!$F:$F,[1]库销表!$L:$L)</f>
        <v>0</v>
      </c>
      <c r="Q37" s="103">
        <f t="shared" si="0"/>
        <v>343</v>
      </c>
      <c r="S37" s="49" t="e">
        <f>_xlfn.XLOOKUP(K37,数据更新表!R:R,数据更新表!S:S)</f>
        <v>#N/A</v>
      </c>
      <c r="T37" s="49" t="e">
        <f>_xlfn.XLOOKUP(K37,数据更新表!V:V,数据更新表!W:W)</f>
        <v>#N/A</v>
      </c>
      <c r="V37" s="104">
        <f t="shared" si="1"/>
        <v>343</v>
      </c>
      <c r="W37" s="98">
        <f t="shared" si="2"/>
        <v>0.142857142857143</v>
      </c>
      <c r="X37" s="98">
        <f t="shared" si="3"/>
        <v>49</v>
      </c>
      <c r="AF37" s="49">
        <f t="shared" si="4"/>
        <v>0</v>
      </c>
      <c r="BG37" s="52"/>
      <c r="BI37" s="52"/>
      <c r="BR37" s="52"/>
      <c r="BS37" s="52">
        <f>_xlfn.XLOOKUP(K37,[1]库销表!$F:$F,[1]库销表!$L:$L)</f>
        <v>0</v>
      </c>
      <c r="BT37" s="52">
        <f t="shared" si="5"/>
        <v>0</v>
      </c>
      <c r="BU37" s="49" cm="1">
        <f t="array" ref="BU37:CD37">_xlfn.XLOOKUP(K37,[1]库销表!$F:$F,[1]库销表!$HT:$IC)</f>
        <v>0</v>
      </c>
      <c r="BV37" s="49">
        <v>0</v>
      </c>
      <c r="BW37" s="49">
        <v>0</v>
      </c>
      <c r="BX37" s="49">
        <v>0</v>
      </c>
      <c r="BY37" s="49">
        <v>0</v>
      </c>
      <c r="BZ37" s="49">
        <v>0</v>
      </c>
      <c r="CA37" s="49">
        <v>0</v>
      </c>
      <c r="CB37" s="49">
        <v>0</v>
      </c>
      <c r="CC37" s="49">
        <v>0</v>
      </c>
      <c r="CD37" s="49">
        <v>0</v>
      </c>
      <c r="CW37" s="52">
        <f>_xlfn.XLOOKUP(K37,[1]库销表!$F:$F,[1]库销表!$IE:$IE)</f>
        <v>0</v>
      </c>
      <c r="CX37" s="52">
        <f>_xlfn.XLOOKUP(K37,[1]库销表!$F:$F,[1]库销表!$IF:$IF)</f>
        <v>0</v>
      </c>
      <c r="CY37" s="105">
        <f>_xlfn.XLOOKUP(K37,[1]库销表!$F:$F,[1]库销表!$FL:$FL)</f>
        <v>0</v>
      </c>
      <c r="CZ37" s="52">
        <f>_xlfn.XLOOKUP(K37,数据更新表!E:E,数据更新表!F:F)</f>
        <v>1</v>
      </c>
      <c r="DA37" s="52" t="e">
        <v>#N/A</v>
      </c>
      <c r="DB37" s="52">
        <f>_xlfn.XLOOKUP(K37,数据更新表!E:E,数据更新表!G:G)</f>
        <v>1</v>
      </c>
      <c r="DC37" s="106">
        <f>_xlfn.XLOOKUP(L37,数据更新表!Z:Z,数据更新表!AH:AH)</f>
        <v>0</v>
      </c>
      <c r="DD37" s="49">
        <f>_xlfn.XLOOKUP(L37,数据更新表!Z:Z,数据更新表!AE:AE)</f>
        <v>0</v>
      </c>
      <c r="DE37" s="49">
        <f>_xlfn.XLOOKUP(L37,数据更新表!Z:Z,数据更新表!AF:AF)</f>
        <v>0</v>
      </c>
      <c r="DF37" s="49" t="e">
        <f>_xlfn.XLOOKUP(K37,数据更新表!Z:Z,数据更新表!AG:AG)</f>
        <v>#N/A</v>
      </c>
      <c r="DG37" s="49">
        <f>_xlfn.XLOOKUP(L37,数据更新表!Z:Z,数据更新表!AD:AD)</f>
        <v>0</v>
      </c>
      <c r="DH37" s="49">
        <f>_xlfn.XLOOKUP(L37,数据更新表!Z:Z,数据更新表!AA:AA)</f>
        <v>0</v>
      </c>
      <c r="DI37" s="49">
        <f>_xlfn.XLOOKUP(L37,数据更新表!Z:Z,数据更新表!AB:AB)</f>
        <v>0</v>
      </c>
      <c r="DJ37" s="49">
        <f>_xlfn.XLOOKUP(L37,数据更新表!Z:Z,数据更新表!AC:AC)</f>
        <v>0</v>
      </c>
      <c r="DK37" s="49">
        <f>_xlfn.XLOOKUP(L37,数据更新表!Z:Z,数据更新表!AI:AI)</f>
        <v>0</v>
      </c>
      <c r="DX37" s="98">
        <f>_xlfn.XLOOKUP(L37,数据更新表!J:J,数据更新表!L:L)</f>
        <v>0</v>
      </c>
      <c r="DY37" s="98">
        <f>_xlfn.XLOOKUP(L37,数据更新表!J:J,数据更新表!M:M)</f>
        <v>0</v>
      </c>
      <c r="DZ37" s="121">
        <v>26</v>
      </c>
      <c r="EA37" s="108">
        <f t="shared" si="21"/>
        <v>-1.3281728158048</v>
      </c>
      <c r="EB37" s="98">
        <f t="shared" si="7"/>
        <v>67.86</v>
      </c>
      <c r="EC37" s="109">
        <f t="shared" si="8"/>
        <v>-101.179375</v>
      </c>
      <c r="ED37" s="108" t="e">
        <f t="shared" si="9"/>
        <v>#DIV/0!</v>
      </c>
      <c r="EE37" s="110">
        <f t="shared" si="10"/>
        <v>8.319375</v>
      </c>
      <c r="EF37" s="98" t="str">
        <f t="shared" si="11"/>
        <v>否</v>
      </c>
      <c r="EG37" s="98">
        <f t="shared" si="12"/>
        <v>0</v>
      </c>
      <c r="EH37" s="98">
        <f t="shared" si="22"/>
        <v>0</v>
      </c>
      <c r="EI37" s="101">
        <f>IF(DX37&lt;=298,IF(DX37&lt;99,25,IF(DX37&lt;=149,30,IF(DX37&lt;=299,37,85))),IF(DX37&lt;=498,_xlfn.XLOOKUP(EQ37,运费表!A:A,运费表!C:C,"重量超限",-1),_xlfn.XLOOKUP(EQ37,运费表!A:A,运费表!D:D,"重量超限",-1)))</f>
        <v>25</v>
      </c>
      <c r="EJ37" s="101">
        <f t="shared" si="14"/>
        <v>0</v>
      </c>
      <c r="EK37" s="115" t="e">
        <v>#DIV/0!</v>
      </c>
      <c r="EL37" s="121">
        <v>0.18</v>
      </c>
      <c r="EM37" s="121">
        <v>12.5</v>
      </c>
      <c r="EN37" s="121">
        <v>12.5</v>
      </c>
      <c r="EO37" s="121">
        <v>8.5</v>
      </c>
      <c r="EP37" s="98">
        <f t="shared" si="25"/>
        <v>0.265625</v>
      </c>
      <c r="EQ37" s="98">
        <f t="shared" si="24"/>
        <v>0.265625</v>
      </c>
      <c r="ER37" s="98">
        <f t="shared" si="26"/>
        <v>0.001328125</v>
      </c>
    </row>
    <row r="38" hidden="1" customHeight="1" spans="2:148">
      <c r="B38" s="118" t="s">
        <v>195</v>
      </c>
      <c r="C38" s="98">
        <v>11</v>
      </c>
      <c r="D38" s="98">
        <v>37</v>
      </c>
      <c r="E38" s="99">
        <v>45953</v>
      </c>
      <c r="G38" s="98" t="s">
        <v>189</v>
      </c>
      <c r="H38" s="116" t="s">
        <v>196</v>
      </c>
      <c r="J38" s="100" t="s">
        <v>197</v>
      </c>
      <c r="K38" s="100" t="s">
        <v>198</v>
      </c>
      <c r="M38" s="106" t="s">
        <v>183</v>
      </c>
      <c r="N38" s="52">
        <f>_xlfn.XLOOKUP(L38,数据更新表!J:J,数据更新表!K:K)</f>
        <v>0</v>
      </c>
      <c r="O38" s="52">
        <f>IFERROR(_xlfn.XLOOKUP(K38,数据更新表!A:A,数据更新表!B:B),"0")</f>
        <v>50</v>
      </c>
      <c r="P38" s="52">
        <f>_xlfn.XLOOKUP(K38,[1]库销表!$F:$F,[1]库销表!$L:$L)</f>
        <v>0</v>
      </c>
      <c r="Q38" s="103" t="e">
        <f t="shared" si="0"/>
        <v>#N/A</v>
      </c>
      <c r="S38" s="49" t="e">
        <f>_xlfn.XLOOKUP(K38,数据更新表!R:R,数据更新表!S:S)</f>
        <v>#N/A</v>
      </c>
      <c r="T38" s="49" t="e">
        <f>_xlfn.XLOOKUP(K38,数据更新表!V:V,数据更新表!W:W)</f>
        <v>#N/A</v>
      </c>
      <c r="V38" s="104" t="str">
        <f t="shared" si="1"/>
        <v>0</v>
      </c>
      <c r="W38" s="98" t="e">
        <f t="shared" si="2"/>
        <v>#N/A</v>
      </c>
      <c r="X38" s="98">
        <f t="shared" si="3"/>
        <v>50</v>
      </c>
      <c r="AF38" s="49">
        <f t="shared" si="4"/>
        <v>0</v>
      </c>
      <c r="BG38" s="52"/>
      <c r="BI38" s="52"/>
      <c r="BR38" s="52"/>
      <c r="BS38" s="52">
        <f>_xlfn.XLOOKUP(K38,[1]库销表!$F:$F,[1]库销表!$L:$L)</f>
        <v>0</v>
      </c>
      <c r="BT38" s="52">
        <f t="shared" si="5"/>
        <v>0</v>
      </c>
      <c r="BU38" s="49" cm="1">
        <f t="array" ref="BU38:CD38">_xlfn.XLOOKUP(K38,[1]库销表!$F:$F,[1]库销表!$HT:$IC)</f>
        <v>0</v>
      </c>
      <c r="BV38" s="49">
        <v>0</v>
      </c>
      <c r="BW38" s="49">
        <v>0</v>
      </c>
      <c r="BX38" s="49">
        <v>0</v>
      </c>
      <c r="BY38" s="49">
        <v>0</v>
      </c>
      <c r="BZ38" s="49">
        <v>0</v>
      </c>
      <c r="CA38" s="49">
        <v>0</v>
      </c>
      <c r="CB38" s="49">
        <v>0</v>
      </c>
      <c r="CC38" s="49">
        <v>0</v>
      </c>
      <c r="CD38" s="49">
        <v>0</v>
      </c>
      <c r="CW38" s="52">
        <f>_xlfn.XLOOKUP(K38,[1]库销表!$F:$F,[1]库销表!$IE:$IE)</f>
        <v>0</v>
      </c>
      <c r="CX38" s="52">
        <f>_xlfn.XLOOKUP(K38,[1]库销表!$F:$F,[1]库销表!$IF:$IF)</f>
        <v>0</v>
      </c>
      <c r="CY38" s="105">
        <f>_xlfn.XLOOKUP(K38,[1]库销表!$F:$F,[1]库销表!$FL:$FL)</f>
        <v>0</v>
      </c>
      <c r="CZ38" s="52" t="e">
        <f>_xlfn.XLOOKUP(K38,数据更新表!E:E,数据更新表!F:F)</f>
        <v>#N/A</v>
      </c>
      <c r="DA38" s="52" t="e">
        <v>#N/A</v>
      </c>
      <c r="DB38" s="52" t="e">
        <f>_xlfn.XLOOKUP(K38,数据更新表!E:E,数据更新表!G:G)</f>
        <v>#N/A</v>
      </c>
      <c r="DC38" s="106">
        <f>_xlfn.XLOOKUP(L38,数据更新表!Z:Z,数据更新表!AH:AH)</f>
        <v>0</v>
      </c>
      <c r="DD38" s="49">
        <f>_xlfn.XLOOKUP(L38,数据更新表!Z:Z,数据更新表!AE:AE)</f>
        <v>0</v>
      </c>
      <c r="DE38" s="49">
        <f>_xlfn.XLOOKUP(L38,数据更新表!Z:Z,数据更新表!AF:AF)</f>
        <v>0</v>
      </c>
      <c r="DF38" s="49" t="e">
        <f>_xlfn.XLOOKUP(K38,数据更新表!Z:Z,数据更新表!AG:AG)</f>
        <v>#N/A</v>
      </c>
      <c r="DG38" s="49">
        <f>_xlfn.XLOOKUP(L38,数据更新表!Z:Z,数据更新表!AD:AD)</f>
        <v>0</v>
      </c>
      <c r="DH38" s="49">
        <f>_xlfn.XLOOKUP(L38,数据更新表!Z:Z,数据更新表!AA:AA)</f>
        <v>0</v>
      </c>
      <c r="DI38" s="49">
        <f>_xlfn.XLOOKUP(L38,数据更新表!Z:Z,数据更新表!AB:AB)</f>
        <v>0</v>
      </c>
      <c r="DJ38" s="49">
        <f>_xlfn.XLOOKUP(L38,数据更新表!Z:Z,数据更新表!AC:AC)</f>
        <v>0</v>
      </c>
      <c r="DK38" s="49">
        <f>_xlfn.XLOOKUP(L38,数据更新表!Z:Z,数据更新表!AI:AI)</f>
        <v>0</v>
      </c>
      <c r="DX38" s="98">
        <f>_xlfn.XLOOKUP(L38,数据更新表!J:J,数据更新表!L:L)</f>
        <v>0</v>
      </c>
      <c r="DY38" s="98">
        <f>_xlfn.XLOOKUP(L38,数据更新表!J:J,数据更新表!M:M)</f>
        <v>0</v>
      </c>
      <c r="DZ38" s="121">
        <v>16</v>
      </c>
      <c r="EA38" s="108">
        <f t="shared" si="21"/>
        <v>-1.49920750808092</v>
      </c>
      <c r="EB38" s="98">
        <f t="shared" si="7"/>
        <v>41.76</v>
      </c>
      <c r="EC38" s="109">
        <f t="shared" si="8"/>
        <v>-75.079375</v>
      </c>
      <c r="ED38" s="108" t="e">
        <f t="shared" si="9"/>
        <v>#DIV/0!</v>
      </c>
      <c r="EE38" s="110">
        <f t="shared" si="10"/>
        <v>8.319375</v>
      </c>
      <c r="EF38" s="98" t="str">
        <f t="shared" si="11"/>
        <v>否</v>
      </c>
      <c r="EG38" s="98">
        <f t="shared" si="12"/>
        <v>0</v>
      </c>
      <c r="EH38" s="98">
        <f t="shared" si="22"/>
        <v>0</v>
      </c>
      <c r="EI38" s="101">
        <f>IF(DX38&lt;=298,IF(DX38&lt;99,25,IF(DX38&lt;=149,30,IF(DX38&lt;=299,37,85))),IF(DX38&lt;=498,_xlfn.XLOOKUP(EQ38,运费表!A:A,运费表!C:C,"重量超限",-1),_xlfn.XLOOKUP(EQ38,运费表!A:A,运费表!D:D,"重量超限",-1)))</f>
        <v>25</v>
      </c>
      <c r="EJ38" s="101">
        <f t="shared" si="14"/>
        <v>0</v>
      </c>
      <c r="EK38" s="115" t="e">
        <v>#DIV/0!</v>
      </c>
      <c r="EL38" s="121">
        <v>0.18</v>
      </c>
      <c r="EM38" s="121">
        <v>12.5</v>
      </c>
      <c r="EN38" s="121">
        <v>12.5</v>
      </c>
      <c r="EO38" s="121">
        <v>8.5</v>
      </c>
      <c r="EP38" s="98">
        <f t="shared" si="25"/>
        <v>0.265625</v>
      </c>
      <c r="EQ38" s="98">
        <f t="shared" si="24"/>
        <v>0.265625</v>
      </c>
      <c r="ER38" s="98">
        <f t="shared" si="26"/>
        <v>0.001328125</v>
      </c>
    </row>
    <row r="39" hidden="1" customHeight="1" spans="2:148">
      <c r="B39" s="118" t="s">
        <v>667</v>
      </c>
      <c r="C39" s="98">
        <v>4</v>
      </c>
      <c r="D39" s="98">
        <v>13</v>
      </c>
      <c r="E39" s="99">
        <v>45953</v>
      </c>
      <c r="G39" s="98" t="s">
        <v>189</v>
      </c>
      <c r="H39" s="116" t="s">
        <v>201</v>
      </c>
      <c r="J39" s="100" t="s">
        <v>668</v>
      </c>
      <c r="K39" s="100" t="s">
        <v>203</v>
      </c>
      <c r="M39" s="106" t="s">
        <v>183</v>
      </c>
      <c r="N39" s="52">
        <f>_xlfn.XLOOKUP(L39,数据更新表!J:J,数据更新表!K:K)</f>
        <v>0</v>
      </c>
      <c r="O39" s="52">
        <f>IFERROR(_xlfn.XLOOKUP(K39,数据更新表!A:A,数据更新表!B:B),"0")</f>
        <v>49</v>
      </c>
      <c r="P39" s="52">
        <f>_xlfn.XLOOKUP(K39,[1]库销表!$F:$F,[1]库销表!$L:$L)</f>
        <v>0</v>
      </c>
      <c r="Q39" s="103">
        <f t="shared" si="0"/>
        <v>343</v>
      </c>
      <c r="S39" s="49" t="e">
        <f>_xlfn.XLOOKUP(K39,数据更新表!R:R,数据更新表!S:S)</f>
        <v>#N/A</v>
      </c>
      <c r="T39" s="49" t="e">
        <f>_xlfn.XLOOKUP(K39,数据更新表!V:V,数据更新表!W:W)</f>
        <v>#N/A</v>
      </c>
      <c r="V39" s="104">
        <f t="shared" si="1"/>
        <v>343</v>
      </c>
      <c r="W39" s="98">
        <f t="shared" si="2"/>
        <v>0.142857142857143</v>
      </c>
      <c r="X39" s="98">
        <f t="shared" si="3"/>
        <v>49</v>
      </c>
      <c r="AF39" s="49">
        <f t="shared" si="4"/>
        <v>0</v>
      </c>
      <c r="BG39" s="52"/>
      <c r="BI39" s="52"/>
      <c r="BR39" s="52"/>
      <c r="BS39" s="52">
        <f>_xlfn.XLOOKUP(K39,[1]库销表!$F:$F,[1]库销表!$L:$L)</f>
        <v>0</v>
      </c>
      <c r="BT39" s="52">
        <f t="shared" si="5"/>
        <v>0</v>
      </c>
      <c r="BU39" s="49" cm="1">
        <f t="array" ref="BU39:CD39">_xlfn.XLOOKUP(K39,[1]库销表!$F:$F,[1]库销表!$HT:$IC)</f>
        <v>0</v>
      </c>
      <c r="BV39" s="49">
        <v>0</v>
      </c>
      <c r="BW39" s="49">
        <v>0</v>
      </c>
      <c r="BX39" s="49">
        <v>0</v>
      </c>
      <c r="BY39" s="49">
        <v>0</v>
      </c>
      <c r="BZ39" s="49">
        <v>0</v>
      </c>
      <c r="CA39" s="49">
        <v>0</v>
      </c>
      <c r="CB39" s="49">
        <v>0</v>
      </c>
      <c r="CC39" s="49">
        <v>0</v>
      </c>
      <c r="CD39" s="49">
        <v>0</v>
      </c>
      <c r="CW39" s="52">
        <f>_xlfn.XLOOKUP(K39,[1]库销表!$F:$F,[1]库销表!$IE:$IE)</f>
        <v>0</v>
      </c>
      <c r="CX39" s="52">
        <f>_xlfn.XLOOKUP(K39,[1]库销表!$F:$F,[1]库销表!$IF:$IF)</f>
        <v>0</v>
      </c>
      <c r="CY39" s="105">
        <f>_xlfn.XLOOKUP(K39,[1]库销表!$F:$F,[1]库销表!$FL:$FL)</f>
        <v>0</v>
      </c>
      <c r="CZ39" s="52">
        <f>_xlfn.XLOOKUP(K39,数据更新表!E:E,数据更新表!F:F)</f>
        <v>1</v>
      </c>
      <c r="DA39" s="52" t="e">
        <v>#N/A</v>
      </c>
      <c r="DB39" s="52">
        <f>_xlfn.XLOOKUP(K39,数据更新表!E:E,数据更新表!G:G)</f>
        <v>0</v>
      </c>
      <c r="DC39" s="106">
        <f>_xlfn.XLOOKUP(L39,数据更新表!Z:Z,数据更新表!AH:AH)</f>
        <v>0</v>
      </c>
      <c r="DD39" s="49">
        <f>_xlfn.XLOOKUP(L39,数据更新表!Z:Z,数据更新表!AE:AE)</f>
        <v>0</v>
      </c>
      <c r="DE39" s="49">
        <f>_xlfn.XLOOKUP(L39,数据更新表!Z:Z,数据更新表!AF:AF)</f>
        <v>0</v>
      </c>
      <c r="DF39" s="49" t="e">
        <f>_xlfn.XLOOKUP(K39,数据更新表!Z:Z,数据更新表!AG:AG)</f>
        <v>#N/A</v>
      </c>
      <c r="DG39" s="49">
        <f>_xlfn.XLOOKUP(L39,数据更新表!Z:Z,数据更新表!AD:AD)</f>
        <v>0</v>
      </c>
      <c r="DH39" s="49">
        <f>_xlfn.XLOOKUP(L39,数据更新表!Z:Z,数据更新表!AA:AA)</f>
        <v>0</v>
      </c>
      <c r="DI39" s="49">
        <f>_xlfn.XLOOKUP(L39,数据更新表!Z:Z,数据更新表!AB:AB)</f>
        <v>0</v>
      </c>
      <c r="DJ39" s="49">
        <f>_xlfn.XLOOKUP(L39,数据更新表!Z:Z,数据更新表!AC:AC)</f>
        <v>0</v>
      </c>
      <c r="DK39" s="49">
        <f>_xlfn.XLOOKUP(L39,数据更新表!Z:Z,数据更新表!AI:AI)</f>
        <v>0</v>
      </c>
      <c r="DX39" s="98">
        <f>_xlfn.XLOOKUP(L39,数据更新表!J:J,数据更新表!L:L)</f>
        <v>0</v>
      </c>
      <c r="DY39" s="98">
        <f>_xlfn.XLOOKUP(L39,数据更新表!J:J,数据更新表!M:M)</f>
        <v>0</v>
      </c>
      <c r="DZ39" s="121">
        <v>26</v>
      </c>
      <c r="EA39" s="108">
        <f t="shared" si="21"/>
        <v>-1.3281728158048</v>
      </c>
      <c r="EB39" s="98">
        <f t="shared" si="7"/>
        <v>67.86</v>
      </c>
      <c r="EC39" s="109">
        <f t="shared" si="8"/>
        <v>-101.179375</v>
      </c>
      <c r="ED39" s="108" t="e">
        <f t="shared" si="9"/>
        <v>#DIV/0!</v>
      </c>
      <c r="EE39" s="110">
        <f t="shared" si="10"/>
        <v>8.319375</v>
      </c>
      <c r="EF39" s="98" t="str">
        <f t="shared" si="11"/>
        <v>否</v>
      </c>
      <c r="EG39" s="98">
        <f t="shared" si="12"/>
        <v>0</v>
      </c>
      <c r="EH39" s="98">
        <f t="shared" si="22"/>
        <v>0</v>
      </c>
      <c r="EI39" s="101">
        <f>IF(DX39&lt;=298,IF(DX39&lt;99,25,IF(DX39&lt;=149,30,IF(DX39&lt;=299,37,85))),IF(DX39&lt;=498,_xlfn.XLOOKUP(EQ39,运费表!A:A,运费表!C:C,"重量超限",-1),_xlfn.XLOOKUP(EQ39,运费表!A:A,运费表!D:D,"重量超限",-1)))</f>
        <v>25</v>
      </c>
      <c r="EJ39" s="101">
        <f t="shared" si="14"/>
        <v>0</v>
      </c>
      <c r="EK39" s="115" t="e">
        <v>#DIV/0!</v>
      </c>
      <c r="EL39" s="121">
        <v>0.18</v>
      </c>
      <c r="EM39" s="121">
        <v>12.5</v>
      </c>
      <c r="EN39" s="121">
        <v>12.5</v>
      </c>
      <c r="EO39" s="121">
        <v>8.5</v>
      </c>
      <c r="EP39" s="98">
        <f t="shared" si="25"/>
        <v>0.265625</v>
      </c>
      <c r="EQ39" s="98">
        <f t="shared" si="24"/>
        <v>0.265625</v>
      </c>
      <c r="ER39" s="98">
        <f t="shared" si="26"/>
        <v>0.001328125</v>
      </c>
    </row>
    <row r="40" hidden="1" customHeight="1" spans="2:148">
      <c r="B40" s="118" t="s">
        <v>669</v>
      </c>
      <c r="C40" s="98">
        <v>22</v>
      </c>
      <c r="D40" s="98">
        <v>24</v>
      </c>
      <c r="E40" s="99">
        <v>45953</v>
      </c>
      <c r="G40" s="98" t="s">
        <v>189</v>
      </c>
      <c r="H40" s="116" t="s">
        <v>206</v>
      </c>
      <c r="J40" s="100" t="s">
        <v>670</v>
      </c>
      <c r="K40" s="100" t="s">
        <v>208</v>
      </c>
      <c r="M40" s="106" t="s">
        <v>183</v>
      </c>
      <c r="N40" s="52">
        <f>_xlfn.XLOOKUP(L40,数据更新表!J:J,数据更新表!K:K)</f>
        <v>0</v>
      </c>
      <c r="O40" s="52">
        <f>IFERROR(_xlfn.XLOOKUP(K40,数据更新表!A:A,数据更新表!B:B),"0")</f>
        <v>33</v>
      </c>
      <c r="P40" s="52">
        <f>_xlfn.XLOOKUP(K40,[1]库销表!$F:$F,[1]库销表!$L:$L)</f>
        <v>0</v>
      </c>
      <c r="Q40" s="103">
        <f t="shared" si="0"/>
        <v>57.75</v>
      </c>
      <c r="S40" s="49" t="e">
        <f>_xlfn.XLOOKUP(K40,数据更新表!R:R,数据更新表!S:S)</f>
        <v>#N/A</v>
      </c>
      <c r="T40" s="49" t="e">
        <f>_xlfn.XLOOKUP(K40,数据更新表!V:V,数据更新表!W:W)</f>
        <v>#N/A</v>
      </c>
      <c r="V40" s="104">
        <f t="shared" si="1"/>
        <v>57.75</v>
      </c>
      <c r="W40" s="98">
        <f t="shared" si="2"/>
        <v>0.571428571428571</v>
      </c>
      <c r="X40" s="98">
        <f t="shared" si="3"/>
        <v>33</v>
      </c>
      <c r="AF40" s="49">
        <f t="shared" si="4"/>
        <v>0</v>
      </c>
      <c r="BI40" s="52"/>
      <c r="BR40" s="52"/>
      <c r="BS40" s="52">
        <f>_xlfn.XLOOKUP(K40,[1]库销表!$F:$F,[1]库销表!$L:$L)</f>
        <v>0</v>
      </c>
      <c r="BT40" s="52">
        <f t="shared" si="5"/>
        <v>0</v>
      </c>
      <c r="BU40" s="49" cm="1">
        <f t="array" ref="BU40:CD40">_xlfn.XLOOKUP(K40,[1]库销表!$F:$F,[1]库销表!$HT:$IC)</f>
        <v>0</v>
      </c>
      <c r="BV40" s="49">
        <v>0</v>
      </c>
      <c r="BW40" s="49">
        <v>0</v>
      </c>
      <c r="BX40" s="49">
        <v>0</v>
      </c>
      <c r="BY40" s="49">
        <v>0</v>
      </c>
      <c r="BZ40" s="49">
        <v>0</v>
      </c>
      <c r="CA40" s="49">
        <v>0</v>
      </c>
      <c r="CB40" s="49">
        <v>0</v>
      </c>
      <c r="CC40" s="49">
        <v>0</v>
      </c>
      <c r="CD40" s="49">
        <v>0</v>
      </c>
      <c r="CW40" s="52">
        <f>_xlfn.XLOOKUP(K40,[1]库销表!$F:$F,[1]库销表!$IE:$IE)</f>
        <v>0</v>
      </c>
      <c r="CX40" s="52">
        <f>_xlfn.XLOOKUP(K40,[1]库销表!$F:$F,[1]库销表!$IF:$IF)</f>
        <v>0</v>
      </c>
      <c r="CY40" s="105">
        <f>_xlfn.XLOOKUP(K40,[1]库销表!$F:$F,[1]库销表!$FL:$FL)</f>
        <v>0</v>
      </c>
      <c r="CZ40" s="52">
        <f>_xlfn.XLOOKUP(K40,数据更新表!E:E,数据更新表!F:F)</f>
        <v>4</v>
      </c>
      <c r="DA40" s="52" t="e">
        <v>#N/A</v>
      </c>
      <c r="DB40" s="52">
        <f>_xlfn.XLOOKUP(K40,数据更新表!E:E,数据更新表!G:G)</f>
        <v>1</v>
      </c>
      <c r="DC40" s="106">
        <f>_xlfn.XLOOKUP(L40,数据更新表!Z:Z,数据更新表!AH:AH)</f>
        <v>0</v>
      </c>
      <c r="DD40" s="49">
        <f>_xlfn.XLOOKUP(L40,数据更新表!Z:Z,数据更新表!AE:AE)</f>
        <v>0</v>
      </c>
      <c r="DE40" s="49">
        <f>_xlfn.XLOOKUP(L40,数据更新表!Z:Z,数据更新表!AF:AF)</f>
        <v>0</v>
      </c>
      <c r="DF40" s="49" t="e">
        <f>_xlfn.XLOOKUP(K40,数据更新表!Z:Z,数据更新表!AG:AG)</f>
        <v>#N/A</v>
      </c>
      <c r="DG40" s="49">
        <f>_xlfn.XLOOKUP(L40,数据更新表!Z:Z,数据更新表!AD:AD)</f>
        <v>0</v>
      </c>
      <c r="DH40" s="49">
        <f>_xlfn.XLOOKUP(L40,数据更新表!Z:Z,数据更新表!AA:AA)</f>
        <v>0</v>
      </c>
      <c r="DI40" s="49">
        <f>_xlfn.XLOOKUP(L40,数据更新表!Z:Z,数据更新表!AB:AB)</f>
        <v>0</v>
      </c>
      <c r="DJ40" s="49">
        <f>_xlfn.XLOOKUP(L40,数据更新表!Z:Z,数据更新表!AC:AC)</f>
        <v>0</v>
      </c>
      <c r="DK40" s="49">
        <f>_xlfn.XLOOKUP(L40,数据更新表!Z:Z,数据更新表!AI:AI)</f>
        <v>0</v>
      </c>
      <c r="DX40" s="98">
        <f>_xlfn.XLOOKUP(L40,数据更新表!J:J,数据更新表!L:L)</f>
        <v>0</v>
      </c>
      <c r="DY40" s="98">
        <f>_xlfn.XLOOKUP(L40,数据更新表!J:J,数据更新表!M:M)</f>
        <v>0</v>
      </c>
      <c r="DZ40" s="122">
        <v>27</v>
      </c>
      <c r="EA40" s="108">
        <f t="shared" si="21"/>
        <v>-1.29410906599431</v>
      </c>
      <c r="EB40" s="98">
        <f t="shared" si="7"/>
        <v>70.47</v>
      </c>
      <c r="EC40" s="109">
        <f t="shared" si="8"/>
        <v>-110.00248</v>
      </c>
      <c r="ED40" s="108" t="e">
        <f t="shared" si="9"/>
        <v>#DIV/0!</v>
      </c>
      <c r="EE40" s="110">
        <f t="shared" si="10"/>
        <v>14.53248</v>
      </c>
      <c r="EF40" s="98" t="str">
        <f t="shared" si="11"/>
        <v>否</v>
      </c>
      <c r="EG40" s="98">
        <f t="shared" si="12"/>
        <v>0</v>
      </c>
      <c r="EH40" s="98">
        <f t="shared" si="22"/>
        <v>0</v>
      </c>
      <c r="EI40" s="101">
        <f>IF(DX40&lt;=298,IF(DX40&lt;99,25,IF(DX40&lt;=149,30,IF(DX40&lt;=299,37,85))),IF(DX40&lt;=498,_xlfn.XLOOKUP(EQ40,运费表!A:A,运费表!C:C,"重量超限",-1),_xlfn.XLOOKUP(EQ40,运费表!A:A,运费表!D:D,"重量超限",-1)))</f>
        <v>25</v>
      </c>
      <c r="EJ40" s="101">
        <f t="shared" si="14"/>
        <v>0</v>
      </c>
      <c r="EK40" s="115" t="e">
        <v>#DIV/0!</v>
      </c>
      <c r="EL40" s="121">
        <v>0.38</v>
      </c>
      <c r="EM40" s="121">
        <v>16</v>
      </c>
      <c r="EN40" s="121">
        <v>14.5</v>
      </c>
      <c r="EO40" s="121">
        <v>10</v>
      </c>
      <c r="EP40" s="98">
        <f t="shared" si="25"/>
        <v>0.464</v>
      </c>
      <c r="EQ40" s="98">
        <f t="shared" si="24"/>
        <v>0.464</v>
      </c>
      <c r="ER40" s="98">
        <f t="shared" si="26"/>
        <v>0.00232</v>
      </c>
    </row>
    <row r="41" hidden="1" customHeight="1" spans="2:148">
      <c r="B41" s="118" t="s">
        <v>671</v>
      </c>
      <c r="C41" s="98">
        <v>8</v>
      </c>
      <c r="D41" s="98">
        <v>17</v>
      </c>
      <c r="E41" s="99">
        <v>45953</v>
      </c>
      <c r="G41" s="98" t="s">
        <v>189</v>
      </c>
      <c r="H41" s="116" t="s">
        <v>212</v>
      </c>
      <c r="J41" s="100" t="s">
        <v>672</v>
      </c>
      <c r="K41" s="100" t="s">
        <v>214</v>
      </c>
      <c r="M41" s="106" t="s">
        <v>183</v>
      </c>
      <c r="N41" s="52">
        <f>_xlfn.XLOOKUP(L41,数据更新表!J:J,数据更新表!K:K)</f>
        <v>0</v>
      </c>
      <c r="O41" s="52">
        <f>IFERROR(_xlfn.XLOOKUP(K41,数据更新表!A:A,数据更新表!B:B),"0")</f>
        <v>0</v>
      </c>
      <c r="P41" s="52">
        <f>_xlfn.XLOOKUP(K41,[1]库销表!$F:$F,[1]库销表!$L:$L)</f>
        <v>0</v>
      </c>
      <c r="Q41" s="103" t="e">
        <f t="shared" si="0"/>
        <v>#N/A</v>
      </c>
      <c r="S41" s="49" t="e">
        <f>_xlfn.XLOOKUP(K41,数据更新表!R:R,数据更新表!S:S)</f>
        <v>#N/A</v>
      </c>
      <c r="T41" s="49" t="e">
        <f>_xlfn.XLOOKUP(K41,数据更新表!V:V,数据更新表!W:W)</f>
        <v>#N/A</v>
      </c>
      <c r="V41" s="104" t="str">
        <f t="shared" si="1"/>
        <v>0</v>
      </c>
      <c r="W41" s="98" t="e">
        <f t="shared" si="2"/>
        <v>#N/A</v>
      </c>
      <c r="X41" s="98">
        <f t="shared" si="3"/>
        <v>0</v>
      </c>
      <c r="AF41" s="49">
        <f t="shared" si="4"/>
        <v>0</v>
      </c>
      <c r="BI41" s="52"/>
      <c r="BR41" s="52"/>
      <c r="BS41" s="52">
        <f>_xlfn.XLOOKUP(K41,[1]库销表!$F:$F,[1]库销表!$L:$L)</f>
        <v>0</v>
      </c>
      <c r="BT41" s="52">
        <f t="shared" si="5"/>
        <v>0</v>
      </c>
      <c r="BU41" s="49" cm="1">
        <f t="array" ref="BU41:CD41">_xlfn.XLOOKUP(K41,[1]库销表!$F:$F,[1]库销表!$HT:$IC)</f>
        <v>0</v>
      </c>
      <c r="BV41" s="49">
        <v>0</v>
      </c>
      <c r="BW41" s="49">
        <v>0</v>
      </c>
      <c r="BX41" s="49">
        <v>0</v>
      </c>
      <c r="BY41" s="49">
        <v>0</v>
      </c>
      <c r="BZ41" s="49">
        <v>0</v>
      </c>
      <c r="CA41" s="49">
        <v>0</v>
      </c>
      <c r="CB41" s="49">
        <v>0</v>
      </c>
      <c r="CC41" s="49">
        <v>0</v>
      </c>
      <c r="CD41" s="49">
        <v>0</v>
      </c>
      <c r="CW41" s="52">
        <f>_xlfn.XLOOKUP(K41,[1]库销表!$F:$F,[1]库销表!$IE:$IE)</f>
        <v>0</v>
      </c>
      <c r="CX41" s="52">
        <f>_xlfn.XLOOKUP(K41,[1]库销表!$F:$F,[1]库销表!$IF:$IF)</f>
        <v>0</v>
      </c>
      <c r="CY41" s="105">
        <f>_xlfn.XLOOKUP(K41,[1]库销表!$F:$F,[1]库销表!$FL:$FL)</f>
        <v>0</v>
      </c>
      <c r="CZ41" s="52" t="e">
        <f>_xlfn.XLOOKUP(K41,数据更新表!E:E,数据更新表!F:F)</f>
        <v>#N/A</v>
      </c>
      <c r="DA41" s="52" t="e">
        <v>#N/A</v>
      </c>
      <c r="DB41" s="52" t="e">
        <f>_xlfn.XLOOKUP(K41,数据更新表!E:E,数据更新表!G:G)</f>
        <v>#N/A</v>
      </c>
      <c r="DC41" s="106">
        <f>_xlfn.XLOOKUP(L41,数据更新表!Z:Z,数据更新表!AH:AH)</f>
        <v>0</v>
      </c>
      <c r="DD41" s="49">
        <f>_xlfn.XLOOKUP(L41,数据更新表!Z:Z,数据更新表!AE:AE)</f>
        <v>0</v>
      </c>
      <c r="DE41" s="49">
        <f>_xlfn.XLOOKUP(L41,数据更新表!Z:Z,数据更新表!AF:AF)</f>
        <v>0</v>
      </c>
      <c r="DF41" s="49" t="e">
        <f>_xlfn.XLOOKUP(K41,数据更新表!Z:Z,数据更新表!AG:AG)</f>
        <v>#N/A</v>
      </c>
      <c r="DG41" s="49">
        <f>_xlfn.XLOOKUP(L41,数据更新表!Z:Z,数据更新表!AD:AD)</f>
        <v>0</v>
      </c>
      <c r="DH41" s="49">
        <f>_xlfn.XLOOKUP(L41,数据更新表!Z:Z,数据更新表!AA:AA)</f>
        <v>0</v>
      </c>
      <c r="DI41" s="49">
        <f>_xlfn.XLOOKUP(L41,数据更新表!Z:Z,数据更新表!AB:AB)</f>
        <v>0</v>
      </c>
      <c r="DJ41" s="49">
        <f>_xlfn.XLOOKUP(L41,数据更新表!Z:Z,数据更新表!AC:AC)</f>
        <v>0</v>
      </c>
      <c r="DK41" s="49">
        <f>_xlfn.XLOOKUP(L41,数据更新表!Z:Z,数据更新表!AI:AI)</f>
        <v>0</v>
      </c>
      <c r="DX41" s="98">
        <f>_xlfn.XLOOKUP(L41,数据更新表!J:J,数据更新表!L:L)</f>
        <v>0</v>
      </c>
      <c r="DY41" s="98">
        <f>_xlfn.XLOOKUP(L41,数据更新表!J:J,数据更新表!M:M)</f>
        <v>0</v>
      </c>
      <c r="DZ41" s="122">
        <v>165</v>
      </c>
      <c r="EA41" s="108">
        <f t="shared" si="21"/>
        <v>-1.05615674722869</v>
      </c>
      <c r="EB41" s="98">
        <f t="shared" si="7"/>
        <v>430.65</v>
      </c>
      <c r="EC41" s="109">
        <f t="shared" si="8"/>
        <v>-470.18248</v>
      </c>
      <c r="ED41" s="108" t="e">
        <f t="shared" si="9"/>
        <v>#DIV/0!</v>
      </c>
      <c r="EE41" s="110">
        <f t="shared" si="10"/>
        <v>14.53248</v>
      </c>
      <c r="EF41" s="98" t="str">
        <f t="shared" si="11"/>
        <v>否</v>
      </c>
      <c r="EG41" s="98">
        <f t="shared" si="12"/>
        <v>0</v>
      </c>
      <c r="EH41" s="98">
        <f t="shared" si="22"/>
        <v>0</v>
      </c>
      <c r="EI41" s="101">
        <f>IF(DX41&lt;=298,IF(DX41&lt;99,25,IF(DX41&lt;=149,30,IF(DX41&lt;=299,37,85))),IF(DX41&lt;=498,_xlfn.XLOOKUP(EQ41,运费表!A:A,运费表!C:C,"重量超限",-1),_xlfn.XLOOKUP(EQ41,运费表!A:A,运费表!D:D,"重量超限",-1)))</f>
        <v>25</v>
      </c>
      <c r="EJ41" s="101">
        <f t="shared" si="14"/>
        <v>0</v>
      </c>
      <c r="EK41" s="115" t="e">
        <v>#DIV/0!</v>
      </c>
      <c r="EL41" s="121">
        <v>0.38</v>
      </c>
      <c r="EM41" s="121">
        <v>16</v>
      </c>
      <c r="EN41" s="121">
        <v>14.5</v>
      </c>
      <c r="EO41" s="121">
        <v>10</v>
      </c>
      <c r="EP41" s="98">
        <f t="shared" si="25"/>
        <v>0.464</v>
      </c>
      <c r="EQ41" s="98">
        <f t="shared" si="24"/>
        <v>0.464</v>
      </c>
      <c r="ER41" s="98">
        <f t="shared" si="26"/>
        <v>0.00232</v>
      </c>
    </row>
    <row r="42" hidden="1" customHeight="1" spans="2:148">
      <c r="B42" s="118" t="s">
        <v>217</v>
      </c>
      <c r="C42" s="98">
        <v>12</v>
      </c>
      <c r="D42" s="98">
        <v>40</v>
      </c>
      <c r="E42" s="99">
        <v>45953</v>
      </c>
      <c r="G42" s="98" t="s">
        <v>189</v>
      </c>
      <c r="H42" s="116" t="s">
        <v>218</v>
      </c>
      <c r="J42" s="100" t="s">
        <v>219</v>
      </c>
      <c r="K42" s="100" t="s">
        <v>220</v>
      </c>
      <c r="M42" s="106" t="s">
        <v>183</v>
      </c>
      <c r="N42" s="52">
        <f>_xlfn.XLOOKUP(L42,数据更新表!J:J,数据更新表!K:K)</f>
        <v>0</v>
      </c>
      <c r="O42" s="52">
        <f>IFERROR(_xlfn.XLOOKUP(K42,数据更新表!A:A,数据更新表!B:B),"0")</f>
        <v>30</v>
      </c>
      <c r="P42" s="52">
        <f>_xlfn.XLOOKUP(K42,[1]库销表!$F:$F,[1]库销表!$L:$L)</f>
        <v>0</v>
      </c>
      <c r="Q42" s="103">
        <f t="shared" si="0"/>
        <v>42</v>
      </c>
      <c r="S42" s="49" t="e">
        <f>_xlfn.XLOOKUP(K42,数据更新表!R:R,数据更新表!S:S)</f>
        <v>#N/A</v>
      </c>
      <c r="T42" s="49" t="e">
        <f>_xlfn.XLOOKUP(K42,数据更新表!V:V,数据更新表!W:W)</f>
        <v>#N/A</v>
      </c>
      <c r="V42" s="104">
        <f t="shared" si="1"/>
        <v>42</v>
      </c>
      <c r="W42" s="98">
        <f t="shared" si="2"/>
        <v>0.714285714285714</v>
      </c>
      <c r="X42" s="98">
        <f t="shared" si="3"/>
        <v>30</v>
      </c>
      <c r="AF42" s="49">
        <f t="shared" si="4"/>
        <v>0</v>
      </c>
      <c r="BI42" s="52"/>
      <c r="BR42" s="52"/>
      <c r="BS42" s="52">
        <f>_xlfn.XLOOKUP(K42,[1]库销表!$F:$F,[1]库销表!$L:$L)</f>
        <v>0</v>
      </c>
      <c r="BT42" s="52">
        <f t="shared" si="5"/>
        <v>0</v>
      </c>
      <c r="BU42" s="49" cm="1">
        <f t="array" ref="BU42:CD42">_xlfn.XLOOKUP(K42,[1]库销表!$F:$F,[1]库销表!$HT:$IC)</f>
        <v>0</v>
      </c>
      <c r="BV42" s="49">
        <v>0</v>
      </c>
      <c r="BW42" s="49">
        <v>0</v>
      </c>
      <c r="BX42" s="49">
        <v>0</v>
      </c>
      <c r="BY42" s="49">
        <v>0</v>
      </c>
      <c r="BZ42" s="49">
        <v>0</v>
      </c>
      <c r="CA42" s="49">
        <v>0</v>
      </c>
      <c r="CB42" s="49">
        <v>0</v>
      </c>
      <c r="CC42" s="49">
        <v>0</v>
      </c>
      <c r="CD42" s="49">
        <v>0</v>
      </c>
      <c r="CW42" s="52">
        <f>_xlfn.XLOOKUP(K42,[1]库销表!$F:$F,[1]库销表!$IE:$IE)</f>
        <v>0</v>
      </c>
      <c r="CX42" s="52">
        <f>_xlfn.XLOOKUP(K42,[1]库销表!$F:$F,[1]库销表!$IF:$IF)</f>
        <v>0</v>
      </c>
      <c r="CY42" s="105">
        <f>_xlfn.XLOOKUP(K42,[1]库销表!$F:$F,[1]库销表!$FL:$FL)</f>
        <v>0</v>
      </c>
      <c r="CZ42" s="52">
        <f>_xlfn.XLOOKUP(K42,数据更新表!E:E,数据更新表!F:F)</f>
        <v>5</v>
      </c>
      <c r="DA42" s="52" t="e">
        <v>#N/A</v>
      </c>
      <c r="DB42" s="52">
        <f>_xlfn.XLOOKUP(K42,数据更新表!E:E,数据更新表!G:G)</f>
        <v>0</v>
      </c>
      <c r="DC42" s="106">
        <f>_xlfn.XLOOKUP(L42,数据更新表!Z:Z,数据更新表!AH:AH)</f>
        <v>0</v>
      </c>
      <c r="DD42" s="49">
        <f>_xlfn.XLOOKUP(L42,数据更新表!Z:Z,数据更新表!AE:AE)</f>
        <v>0</v>
      </c>
      <c r="DE42" s="49">
        <f>_xlfn.XLOOKUP(L42,数据更新表!Z:Z,数据更新表!AF:AF)</f>
        <v>0</v>
      </c>
      <c r="DF42" s="49" t="e">
        <f>_xlfn.XLOOKUP(K42,数据更新表!Z:Z,数据更新表!AG:AG)</f>
        <v>#N/A</v>
      </c>
      <c r="DG42" s="49">
        <f>_xlfn.XLOOKUP(L42,数据更新表!Z:Z,数据更新表!AD:AD)</f>
        <v>0</v>
      </c>
      <c r="DH42" s="49">
        <f>_xlfn.XLOOKUP(L42,数据更新表!Z:Z,数据更新表!AA:AA)</f>
        <v>0</v>
      </c>
      <c r="DI42" s="49">
        <f>_xlfn.XLOOKUP(L42,数据更新表!Z:Z,数据更新表!AB:AB)</f>
        <v>0</v>
      </c>
      <c r="DJ42" s="49">
        <f>_xlfn.XLOOKUP(L42,数据更新表!Z:Z,数据更新表!AC:AC)</f>
        <v>0</v>
      </c>
      <c r="DK42" s="49">
        <f>_xlfn.XLOOKUP(L42,数据更新表!Z:Z,数据更新表!AI:AI)</f>
        <v>0</v>
      </c>
      <c r="DX42" s="98">
        <f>_xlfn.XLOOKUP(L42,数据更新表!J:J,数据更新表!L:L)</f>
        <v>0</v>
      </c>
      <c r="DY42" s="98">
        <f>_xlfn.XLOOKUP(L42,数据更新表!J:J,数据更新表!M:M)</f>
        <v>0</v>
      </c>
      <c r="DZ42" s="122">
        <v>27</v>
      </c>
      <c r="EA42" s="108">
        <f t="shared" si="21"/>
        <v>-1.29410906599431</v>
      </c>
      <c r="EB42" s="98">
        <f t="shared" si="7"/>
        <v>70.47</v>
      </c>
      <c r="EC42" s="109">
        <f t="shared" si="8"/>
        <v>-110.00248</v>
      </c>
      <c r="ED42" s="108" t="e">
        <f t="shared" si="9"/>
        <v>#DIV/0!</v>
      </c>
      <c r="EE42" s="110">
        <f t="shared" si="10"/>
        <v>14.53248</v>
      </c>
      <c r="EF42" s="98" t="str">
        <f t="shared" si="11"/>
        <v>否</v>
      </c>
      <c r="EG42" s="98">
        <f t="shared" si="12"/>
        <v>0</v>
      </c>
      <c r="EH42" s="98">
        <f t="shared" si="22"/>
        <v>0</v>
      </c>
      <c r="EI42" s="101">
        <f>IF(DX42&lt;=298,IF(DX42&lt;99,25,IF(DX42&lt;=149,30,IF(DX42&lt;=299,37,85))),IF(DX42&lt;=498,_xlfn.XLOOKUP(EQ42,运费表!A:A,运费表!C:C,"重量超限",-1),_xlfn.XLOOKUP(EQ42,运费表!A:A,运费表!D:D,"重量超限",-1)))</f>
        <v>25</v>
      </c>
      <c r="EJ42" s="101">
        <f t="shared" si="14"/>
        <v>0</v>
      </c>
      <c r="EK42" s="115" t="e">
        <v>#DIV/0!</v>
      </c>
      <c r="EL42" s="121">
        <v>0.38</v>
      </c>
      <c r="EM42" s="121">
        <v>16</v>
      </c>
      <c r="EN42" s="121">
        <v>14.5</v>
      </c>
      <c r="EO42" s="121">
        <v>10</v>
      </c>
      <c r="EP42" s="98">
        <f t="shared" si="25"/>
        <v>0.464</v>
      </c>
      <c r="EQ42" s="98">
        <f t="shared" si="24"/>
        <v>0.464</v>
      </c>
      <c r="ER42" s="98">
        <f t="shared" si="26"/>
        <v>0.00232</v>
      </c>
    </row>
    <row r="43" hidden="1" customHeight="1" spans="2:148">
      <c r="B43" s="118" t="s">
        <v>673</v>
      </c>
      <c r="C43" s="98">
        <v>11</v>
      </c>
      <c r="D43" s="98">
        <v>17</v>
      </c>
      <c r="E43" s="99">
        <v>45953</v>
      </c>
      <c r="G43" s="98" t="s">
        <v>189</v>
      </c>
      <c r="H43" s="116" t="s">
        <v>224</v>
      </c>
      <c r="J43" s="100" t="s">
        <v>674</v>
      </c>
      <c r="K43" s="100" t="s">
        <v>226</v>
      </c>
      <c r="M43" s="106" t="s">
        <v>183</v>
      </c>
      <c r="N43" s="52">
        <f>_xlfn.XLOOKUP(L43,数据更新表!J:J,数据更新表!K:K)</f>
        <v>0</v>
      </c>
      <c r="O43" s="52">
        <f>IFERROR(_xlfn.XLOOKUP(K43,数据更新表!A:A,数据更新表!B:B),"0")</f>
        <v>40</v>
      </c>
      <c r="P43" s="52">
        <f>_xlfn.XLOOKUP(K43,[1]库销表!$F:$F,[1]库销表!$L:$L)</f>
        <v>0</v>
      </c>
      <c r="Q43" s="103">
        <f t="shared" si="0"/>
        <v>140</v>
      </c>
      <c r="S43" s="49" t="e">
        <f>_xlfn.XLOOKUP(K43,数据更新表!R:R,数据更新表!S:S)</f>
        <v>#N/A</v>
      </c>
      <c r="T43" s="49" t="e">
        <f>_xlfn.XLOOKUP(K43,数据更新表!V:V,数据更新表!W:W)</f>
        <v>#N/A</v>
      </c>
      <c r="V43" s="104">
        <f t="shared" si="1"/>
        <v>140</v>
      </c>
      <c r="W43" s="98">
        <f t="shared" si="2"/>
        <v>0.285714285714286</v>
      </c>
      <c r="X43" s="98">
        <f t="shared" si="3"/>
        <v>40</v>
      </c>
      <c r="AF43" s="49">
        <f t="shared" si="4"/>
        <v>0</v>
      </c>
      <c r="BI43" s="52"/>
      <c r="BR43" s="52"/>
      <c r="BS43" s="52">
        <f>_xlfn.XLOOKUP(K43,[1]库销表!$F:$F,[1]库销表!$L:$L)</f>
        <v>0</v>
      </c>
      <c r="BT43" s="52">
        <f t="shared" si="5"/>
        <v>0</v>
      </c>
      <c r="BU43" s="49" cm="1">
        <f t="array" ref="BU43:CD43">_xlfn.XLOOKUP(K43,[1]库销表!$F:$F,[1]库销表!$HT:$IC)</f>
        <v>0</v>
      </c>
      <c r="BV43" s="49">
        <v>0</v>
      </c>
      <c r="BW43" s="49">
        <v>0</v>
      </c>
      <c r="BX43" s="49">
        <v>0</v>
      </c>
      <c r="BY43" s="49">
        <v>0</v>
      </c>
      <c r="BZ43" s="49">
        <v>0</v>
      </c>
      <c r="CA43" s="49">
        <v>0</v>
      </c>
      <c r="CB43" s="49">
        <v>0</v>
      </c>
      <c r="CC43" s="49">
        <v>0</v>
      </c>
      <c r="CD43" s="49">
        <v>0</v>
      </c>
      <c r="CW43" s="52">
        <f>_xlfn.XLOOKUP(K43,[1]库销表!$F:$F,[1]库销表!$IE:$IE)</f>
        <v>0</v>
      </c>
      <c r="CX43" s="52">
        <f>_xlfn.XLOOKUP(K43,[1]库销表!$F:$F,[1]库销表!$IF:$IF)</f>
        <v>0</v>
      </c>
      <c r="CY43" s="105">
        <f>_xlfn.XLOOKUP(K43,[1]库销表!$F:$F,[1]库销表!$FL:$FL)</f>
        <v>0</v>
      </c>
      <c r="CZ43" s="52">
        <f>_xlfn.XLOOKUP(K43,数据更新表!E:E,数据更新表!F:F)</f>
        <v>2</v>
      </c>
      <c r="DA43" s="52" t="e">
        <v>#N/A</v>
      </c>
      <c r="DB43" s="52">
        <f>_xlfn.XLOOKUP(K43,数据更新表!E:E,数据更新表!G:G)</f>
        <v>0</v>
      </c>
      <c r="DC43" s="106">
        <f>_xlfn.XLOOKUP(L43,数据更新表!Z:Z,数据更新表!AH:AH)</f>
        <v>0</v>
      </c>
      <c r="DD43" s="49">
        <f>_xlfn.XLOOKUP(L43,数据更新表!Z:Z,数据更新表!AE:AE)</f>
        <v>0</v>
      </c>
      <c r="DE43" s="49">
        <f>_xlfn.XLOOKUP(L43,数据更新表!Z:Z,数据更新表!AF:AF)</f>
        <v>0</v>
      </c>
      <c r="DF43" s="49" t="e">
        <f>_xlfn.XLOOKUP(K43,数据更新表!Z:Z,数据更新表!AG:AG)</f>
        <v>#N/A</v>
      </c>
      <c r="DG43" s="49">
        <f>_xlfn.XLOOKUP(L43,数据更新表!Z:Z,数据更新表!AD:AD)</f>
        <v>0</v>
      </c>
      <c r="DH43" s="49">
        <f>_xlfn.XLOOKUP(L43,数据更新表!Z:Z,数据更新表!AA:AA)</f>
        <v>0</v>
      </c>
      <c r="DI43" s="49">
        <f>_xlfn.XLOOKUP(L43,数据更新表!Z:Z,数据更新表!AB:AB)</f>
        <v>0</v>
      </c>
      <c r="DJ43" s="49">
        <f>_xlfn.XLOOKUP(L43,数据更新表!Z:Z,数据更新表!AC:AC)</f>
        <v>0</v>
      </c>
      <c r="DK43" s="49">
        <f>_xlfn.XLOOKUP(L43,数据更新表!Z:Z,数据更新表!AI:AI)</f>
        <v>0</v>
      </c>
      <c r="DX43" s="98">
        <f>_xlfn.XLOOKUP(L43,数据更新表!J:J,数据更新表!L:L)</f>
        <v>0</v>
      </c>
      <c r="DY43" s="98">
        <f>_xlfn.XLOOKUP(L43,数据更新表!J:J,数据更新表!M:M)</f>
        <v>0</v>
      </c>
      <c r="DZ43" s="122">
        <v>17</v>
      </c>
      <c r="EA43" s="108">
        <f t="shared" si="21"/>
        <v>-1.42443034656605</v>
      </c>
      <c r="EB43" s="98">
        <f t="shared" si="7"/>
        <v>44.37</v>
      </c>
      <c r="EC43" s="109">
        <f t="shared" si="8"/>
        <v>-83.90248</v>
      </c>
      <c r="ED43" s="108" t="e">
        <f t="shared" si="9"/>
        <v>#DIV/0!</v>
      </c>
      <c r="EE43" s="110">
        <f t="shared" si="10"/>
        <v>14.53248</v>
      </c>
      <c r="EF43" s="98" t="str">
        <f t="shared" si="11"/>
        <v>否</v>
      </c>
      <c r="EG43" s="98">
        <f t="shared" si="12"/>
        <v>0</v>
      </c>
      <c r="EH43" s="98">
        <f t="shared" si="22"/>
        <v>0</v>
      </c>
      <c r="EI43" s="101">
        <f>IF(DX43&lt;=298,IF(DX43&lt;99,25,IF(DX43&lt;=149,30,IF(DX43&lt;=299,37,85))),IF(DX43&lt;=498,_xlfn.XLOOKUP(EQ43,运费表!A:A,运费表!C:C,"重量超限",-1),_xlfn.XLOOKUP(EQ43,运费表!A:A,运费表!D:D,"重量超限",-1)))</f>
        <v>25</v>
      </c>
      <c r="EJ43" s="101">
        <f t="shared" si="14"/>
        <v>0</v>
      </c>
      <c r="EK43" s="115" t="e">
        <v>#DIV/0!</v>
      </c>
      <c r="EL43" s="121">
        <v>0.38</v>
      </c>
      <c r="EM43" s="121">
        <v>16</v>
      </c>
      <c r="EN43" s="121">
        <v>14.5</v>
      </c>
      <c r="EO43" s="121">
        <v>10</v>
      </c>
      <c r="EP43" s="98">
        <f t="shared" si="25"/>
        <v>0.464</v>
      </c>
      <c r="EQ43" s="98">
        <f t="shared" si="24"/>
        <v>0.464</v>
      </c>
      <c r="ER43" s="98">
        <f t="shared" si="26"/>
        <v>0.00232</v>
      </c>
    </row>
    <row r="44" hidden="1" customHeight="1" spans="2:148">
      <c r="B44" s="118" t="s">
        <v>229</v>
      </c>
      <c r="C44" s="98">
        <v>10</v>
      </c>
      <c r="D44" s="98">
        <v>18</v>
      </c>
      <c r="E44" s="99">
        <v>45953</v>
      </c>
      <c r="G44" s="98" t="s">
        <v>189</v>
      </c>
      <c r="H44" s="116" t="s">
        <v>230</v>
      </c>
      <c r="J44" s="100" t="s">
        <v>231</v>
      </c>
      <c r="K44" s="100" t="s">
        <v>232</v>
      </c>
      <c r="M44" s="106" t="s">
        <v>183</v>
      </c>
      <c r="N44" s="52">
        <f>_xlfn.XLOOKUP(L44,数据更新表!J:J,数据更新表!K:K)</f>
        <v>0</v>
      </c>
      <c r="O44" s="52">
        <f>IFERROR(_xlfn.XLOOKUP(K44,数据更新表!A:A,数据更新表!B:B),"0")</f>
        <v>40</v>
      </c>
      <c r="P44" s="52">
        <f>_xlfn.XLOOKUP(K44,[1]库销表!$F:$F,[1]库销表!$L:$L)</f>
        <v>0</v>
      </c>
      <c r="Q44" s="103">
        <f t="shared" si="0"/>
        <v>93.3333333333332</v>
      </c>
      <c r="S44" s="49" t="e">
        <f>_xlfn.XLOOKUP(K44,数据更新表!R:R,数据更新表!S:S)</f>
        <v>#N/A</v>
      </c>
      <c r="T44" s="49" t="e">
        <f>_xlfn.XLOOKUP(K44,数据更新表!V:V,数据更新表!W:W)</f>
        <v>#N/A</v>
      </c>
      <c r="V44" s="104">
        <f t="shared" si="1"/>
        <v>93.3333333333333</v>
      </c>
      <c r="W44" s="98">
        <f t="shared" si="2"/>
        <v>0.428571428571429</v>
      </c>
      <c r="X44" s="98">
        <f t="shared" si="3"/>
        <v>40</v>
      </c>
      <c r="AF44" s="49">
        <f t="shared" si="4"/>
        <v>0</v>
      </c>
      <c r="BI44" s="52"/>
      <c r="BR44" s="52"/>
      <c r="BS44" s="52">
        <f>_xlfn.XLOOKUP(K44,[1]库销表!$F:$F,[1]库销表!$L:$L)</f>
        <v>0</v>
      </c>
      <c r="BT44" s="52">
        <f t="shared" si="5"/>
        <v>0</v>
      </c>
      <c r="BU44" s="49" cm="1">
        <f t="array" ref="BU44:CD44">_xlfn.XLOOKUP(K44,[1]库销表!$F:$F,[1]库销表!$HT:$IC)</f>
        <v>0</v>
      </c>
      <c r="BV44" s="49">
        <v>0</v>
      </c>
      <c r="BW44" s="49">
        <v>0</v>
      </c>
      <c r="BX44" s="49">
        <v>0</v>
      </c>
      <c r="BY44" s="49">
        <v>0</v>
      </c>
      <c r="BZ44" s="49">
        <v>0</v>
      </c>
      <c r="CA44" s="49">
        <v>0</v>
      </c>
      <c r="CB44" s="49">
        <v>0</v>
      </c>
      <c r="CC44" s="49">
        <v>0</v>
      </c>
      <c r="CD44" s="49">
        <v>0</v>
      </c>
      <c r="CW44" s="52">
        <f>_xlfn.XLOOKUP(K44,[1]库销表!$F:$F,[1]库销表!$IE:$IE)</f>
        <v>0</v>
      </c>
      <c r="CX44" s="52">
        <f>_xlfn.XLOOKUP(K44,[1]库销表!$F:$F,[1]库销表!$IF:$IF)</f>
        <v>0</v>
      </c>
      <c r="CY44" s="105">
        <f>_xlfn.XLOOKUP(K44,[1]库销表!$F:$F,[1]库销表!$FL:$FL)</f>
        <v>0</v>
      </c>
      <c r="CZ44" s="52">
        <f>_xlfn.XLOOKUP(K44,数据更新表!E:E,数据更新表!F:F)</f>
        <v>3</v>
      </c>
      <c r="DA44" s="52" t="e">
        <v>#N/A</v>
      </c>
      <c r="DB44" s="52">
        <f>_xlfn.XLOOKUP(K44,数据更新表!E:E,数据更新表!G:G)</f>
        <v>0</v>
      </c>
      <c r="DC44" s="106">
        <f>_xlfn.XLOOKUP(L44,数据更新表!Z:Z,数据更新表!AH:AH)</f>
        <v>0</v>
      </c>
      <c r="DD44" s="49">
        <f>_xlfn.XLOOKUP(L44,数据更新表!Z:Z,数据更新表!AE:AE)</f>
        <v>0</v>
      </c>
      <c r="DE44" s="49">
        <f>_xlfn.XLOOKUP(L44,数据更新表!Z:Z,数据更新表!AF:AF)</f>
        <v>0</v>
      </c>
      <c r="DF44" s="49" t="e">
        <f>_xlfn.XLOOKUP(K44,数据更新表!Z:Z,数据更新表!AG:AG)</f>
        <v>#N/A</v>
      </c>
      <c r="DG44" s="49">
        <f>_xlfn.XLOOKUP(L44,数据更新表!Z:Z,数据更新表!AD:AD)</f>
        <v>0</v>
      </c>
      <c r="DH44" s="49">
        <f>_xlfn.XLOOKUP(L44,数据更新表!Z:Z,数据更新表!AA:AA)</f>
        <v>0</v>
      </c>
      <c r="DI44" s="49">
        <f>_xlfn.XLOOKUP(L44,数据更新表!Z:Z,数据更新表!AB:AB)</f>
        <v>0</v>
      </c>
      <c r="DJ44" s="49">
        <f>_xlfn.XLOOKUP(L44,数据更新表!Z:Z,数据更新表!AC:AC)</f>
        <v>0</v>
      </c>
      <c r="DK44" s="49">
        <f>_xlfn.XLOOKUP(L44,数据更新表!Z:Z,数据更新表!AI:AI)</f>
        <v>0</v>
      </c>
      <c r="DX44" s="98">
        <f>_xlfn.XLOOKUP(L44,数据更新表!J:J,数据更新表!L:L)</f>
        <v>0</v>
      </c>
      <c r="DY44" s="98">
        <f>_xlfn.XLOOKUP(L44,数据更新表!J:J,数据更新表!M:M)</f>
        <v>0</v>
      </c>
      <c r="DZ44" s="122">
        <v>45</v>
      </c>
      <c r="EA44" s="108">
        <f t="shared" si="21"/>
        <v>-1.18941908047189</v>
      </c>
      <c r="EB44" s="98">
        <f t="shared" si="7"/>
        <v>117.45</v>
      </c>
      <c r="EC44" s="109">
        <f t="shared" si="8"/>
        <v>-156.98248</v>
      </c>
      <c r="ED44" s="108" t="e">
        <f t="shared" si="9"/>
        <v>#DIV/0!</v>
      </c>
      <c r="EE44" s="110">
        <f t="shared" si="10"/>
        <v>14.53248</v>
      </c>
      <c r="EF44" s="98" t="str">
        <f t="shared" si="11"/>
        <v>否</v>
      </c>
      <c r="EG44" s="98">
        <f t="shared" si="12"/>
        <v>0</v>
      </c>
      <c r="EH44" s="98">
        <f t="shared" si="22"/>
        <v>0</v>
      </c>
      <c r="EI44" s="101">
        <f>IF(DX44&lt;=298,IF(DX44&lt;99,25,IF(DX44&lt;=149,30,IF(DX44&lt;=299,37,85))),IF(DX44&lt;=498,_xlfn.XLOOKUP(EQ44,运费表!A:A,运费表!C:C,"重量超限",-1),_xlfn.XLOOKUP(EQ44,运费表!A:A,运费表!D:D,"重量超限",-1)))</f>
        <v>25</v>
      </c>
      <c r="EJ44" s="101">
        <f t="shared" si="14"/>
        <v>0</v>
      </c>
      <c r="EK44" s="115" t="e">
        <v>#DIV/0!</v>
      </c>
      <c r="EL44" s="121">
        <v>0.38</v>
      </c>
      <c r="EM44" s="121">
        <v>16</v>
      </c>
      <c r="EN44" s="121">
        <v>14.5</v>
      </c>
      <c r="EO44" s="121">
        <v>10</v>
      </c>
      <c r="EP44" s="98">
        <f t="shared" si="25"/>
        <v>0.464</v>
      </c>
      <c r="EQ44" s="98">
        <f t="shared" si="24"/>
        <v>0.464</v>
      </c>
      <c r="ER44" s="98">
        <f t="shared" si="26"/>
        <v>0.00232</v>
      </c>
    </row>
    <row r="45" hidden="1" customHeight="1" spans="2:148">
      <c r="B45" s="118" t="s">
        <v>236</v>
      </c>
      <c r="C45" s="98">
        <v>4</v>
      </c>
      <c r="D45" s="98">
        <v>13</v>
      </c>
      <c r="E45" s="99">
        <v>45953</v>
      </c>
      <c r="G45" s="98" t="s">
        <v>189</v>
      </c>
      <c r="H45" s="116" t="s">
        <v>237</v>
      </c>
      <c r="J45" s="100" t="s">
        <v>238</v>
      </c>
      <c r="K45" s="100" t="s">
        <v>239</v>
      </c>
      <c r="M45" s="106" t="s">
        <v>183</v>
      </c>
      <c r="N45" s="52">
        <f>_xlfn.XLOOKUP(L45,数据更新表!J:J,数据更新表!K:K)</f>
        <v>0</v>
      </c>
      <c r="O45" s="52">
        <f>IFERROR(_xlfn.XLOOKUP(K45,数据更新表!A:A,数据更新表!B:B),"0")</f>
        <v>45</v>
      </c>
      <c r="P45" s="52">
        <f>_xlfn.XLOOKUP(K45,[1]库销表!$F:$F,[1]库销表!$L:$L)</f>
        <v>0</v>
      </c>
      <c r="Q45" s="103">
        <f t="shared" si="0"/>
        <v>315</v>
      </c>
      <c r="S45" s="49" t="e">
        <f>_xlfn.XLOOKUP(K45,数据更新表!R:R,数据更新表!S:S)</f>
        <v>#N/A</v>
      </c>
      <c r="T45" s="49" t="e">
        <f>_xlfn.XLOOKUP(K45,数据更新表!V:V,数据更新表!W:W)</f>
        <v>#N/A</v>
      </c>
      <c r="V45" s="104">
        <f t="shared" si="1"/>
        <v>315</v>
      </c>
      <c r="W45" s="98">
        <f t="shared" si="2"/>
        <v>0.142857142857143</v>
      </c>
      <c r="X45" s="98">
        <f t="shared" si="3"/>
        <v>45</v>
      </c>
      <c r="AF45" s="49">
        <f t="shared" si="4"/>
        <v>0</v>
      </c>
      <c r="BI45" s="52"/>
      <c r="BR45" s="52"/>
      <c r="BS45" s="52">
        <f>_xlfn.XLOOKUP(K45,[1]库销表!$F:$F,[1]库销表!$L:$L)</f>
        <v>0</v>
      </c>
      <c r="BT45" s="52">
        <f t="shared" si="5"/>
        <v>0</v>
      </c>
      <c r="BU45" s="49" cm="1">
        <f t="array" ref="BU45:CD45">_xlfn.XLOOKUP(K45,[1]库销表!$F:$F,[1]库销表!$HT:$IC)</f>
        <v>0</v>
      </c>
      <c r="BV45" s="49">
        <v>0</v>
      </c>
      <c r="BW45" s="49">
        <v>0</v>
      </c>
      <c r="BX45" s="49">
        <v>0</v>
      </c>
      <c r="BY45" s="49">
        <v>0</v>
      </c>
      <c r="BZ45" s="49">
        <v>0</v>
      </c>
      <c r="CA45" s="49">
        <v>0</v>
      </c>
      <c r="CB45" s="49">
        <v>0</v>
      </c>
      <c r="CC45" s="49">
        <v>0</v>
      </c>
      <c r="CD45" s="49">
        <v>0</v>
      </c>
      <c r="CW45" s="52">
        <f>_xlfn.XLOOKUP(K45,[1]库销表!$F:$F,[1]库销表!$IE:$IE)</f>
        <v>0</v>
      </c>
      <c r="CX45" s="52">
        <f>_xlfn.XLOOKUP(K45,[1]库销表!$F:$F,[1]库销表!$IF:$IF)</f>
        <v>0</v>
      </c>
      <c r="CY45" s="105">
        <f>_xlfn.XLOOKUP(K45,[1]库销表!$F:$F,[1]库销表!$FL:$FL)</f>
        <v>0</v>
      </c>
      <c r="CZ45" s="52">
        <f>_xlfn.XLOOKUP(K45,数据更新表!E:E,数据更新表!F:F)</f>
        <v>1</v>
      </c>
      <c r="DA45" s="52" t="e">
        <v>#N/A</v>
      </c>
      <c r="DB45" s="52">
        <f>_xlfn.XLOOKUP(K45,数据更新表!E:E,数据更新表!G:G)</f>
        <v>0</v>
      </c>
      <c r="DC45" s="106">
        <f>_xlfn.XLOOKUP(L45,数据更新表!Z:Z,数据更新表!AH:AH)</f>
        <v>0</v>
      </c>
      <c r="DD45" s="49">
        <f>_xlfn.XLOOKUP(L45,数据更新表!Z:Z,数据更新表!AE:AE)</f>
        <v>0</v>
      </c>
      <c r="DE45" s="49">
        <f>_xlfn.XLOOKUP(L45,数据更新表!Z:Z,数据更新表!AF:AF)</f>
        <v>0</v>
      </c>
      <c r="DF45" s="49" t="e">
        <f>_xlfn.XLOOKUP(K45,数据更新表!Z:Z,数据更新表!AG:AG)</f>
        <v>#N/A</v>
      </c>
      <c r="DG45" s="49">
        <f>_xlfn.XLOOKUP(L45,数据更新表!Z:Z,数据更新表!AD:AD)</f>
        <v>0</v>
      </c>
      <c r="DH45" s="49">
        <f>_xlfn.XLOOKUP(L45,数据更新表!Z:Z,数据更新表!AA:AA)</f>
        <v>0</v>
      </c>
      <c r="DI45" s="49">
        <f>_xlfn.XLOOKUP(L45,数据更新表!Z:Z,数据更新表!AB:AB)</f>
        <v>0</v>
      </c>
      <c r="DJ45" s="49">
        <f>_xlfn.XLOOKUP(L45,数据更新表!Z:Z,数据更新表!AC:AC)</f>
        <v>0</v>
      </c>
      <c r="DK45" s="49">
        <f>_xlfn.XLOOKUP(L45,数据更新表!Z:Z,数据更新表!AI:AI)</f>
        <v>0</v>
      </c>
      <c r="DX45" s="98">
        <f>_xlfn.XLOOKUP(L45,数据更新表!J:J,数据更新表!L:L)</f>
        <v>0</v>
      </c>
      <c r="DY45" s="98">
        <f>_xlfn.XLOOKUP(L45,数据更新表!J:J,数据更新表!M:M)</f>
        <v>0</v>
      </c>
      <c r="DZ45" s="122">
        <v>27</v>
      </c>
      <c r="EA45" s="108">
        <f t="shared" si="21"/>
        <v>-1.29410906599431</v>
      </c>
      <c r="EB45" s="98">
        <f t="shared" si="7"/>
        <v>70.47</v>
      </c>
      <c r="EC45" s="109">
        <f t="shared" si="8"/>
        <v>-110.00248</v>
      </c>
      <c r="ED45" s="108" t="e">
        <f t="shared" si="9"/>
        <v>#DIV/0!</v>
      </c>
      <c r="EE45" s="110">
        <f t="shared" si="10"/>
        <v>14.53248</v>
      </c>
      <c r="EF45" s="98" t="str">
        <f t="shared" si="11"/>
        <v>否</v>
      </c>
      <c r="EG45" s="98">
        <f t="shared" si="12"/>
        <v>0</v>
      </c>
      <c r="EH45" s="98">
        <f t="shared" si="22"/>
        <v>0</v>
      </c>
      <c r="EI45" s="101">
        <f>IF(DX45&lt;=298,IF(DX45&lt;99,25,IF(DX45&lt;=149,30,IF(DX45&lt;=299,37,85))),IF(DX45&lt;=498,_xlfn.XLOOKUP(EQ45,运费表!A:A,运费表!C:C,"重量超限",-1),_xlfn.XLOOKUP(EQ45,运费表!A:A,运费表!D:D,"重量超限",-1)))</f>
        <v>25</v>
      </c>
      <c r="EJ45" s="101">
        <f t="shared" si="14"/>
        <v>0</v>
      </c>
      <c r="EK45" s="115" t="e">
        <v>#DIV/0!</v>
      </c>
      <c r="EL45" s="121">
        <v>0.38</v>
      </c>
      <c r="EM45" s="121">
        <v>16</v>
      </c>
      <c r="EN45" s="121">
        <v>14.5</v>
      </c>
      <c r="EO45" s="121">
        <v>10</v>
      </c>
      <c r="EP45" s="98">
        <f t="shared" si="25"/>
        <v>0.464</v>
      </c>
      <c r="EQ45" s="98">
        <f t="shared" si="24"/>
        <v>0.464</v>
      </c>
      <c r="ER45" s="98">
        <f t="shared" si="26"/>
        <v>0.00232</v>
      </c>
    </row>
    <row r="46" hidden="1" customHeight="1" spans="2:148">
      <c r="B46" s="123" t="s">
        <v>242</v>
      </c>
      <c r="C46" s="98">
        <v>10</v>
      </c>
      <c r="D46" s="98">
        <v>25</v>
      </c>
      <c r="E46" s="99">
        <v>45953</v>
      </c>
      <c r="G46" s="98" t="s">
        <v>189</v>
      </c>
      <c r="H46" s="116" t="s">
        <v>243</v>
      </c>
      <c r="J46" s="100" t="s">
        <v>244</v>
      </c>
      <c r="K46" s="100" t="s">
        <v>245</v>
      </c>
      <c r="M46" s="106" t="s">
        <v>183</v>
      </c>
      <c r="N46" s="52">
        <f>_xlfn.XLOOKUP(L46,数据更新表!J:J,数据更新表!K:K)</f>
        <v>0</v>
      </c>
      <c r="O46" s="52">
        <f>IFERROR(_xlfn.XLOOKUP(K46,数据更新表!A:A,数据更新表!B:B),"0")</f>
        <v>47</v>
      </c>
      <c r="P46" s="52">
        <f>_xlfn.XLOOKUP(K46,[1]库销表!$F:$F,[1]库销表!$L:$L)</f>
        <v>0</v>
      </c>
      <c r="Q46" s="103">
        <f t="shared" si="0"/>
        <v>109.666666666667</v>
      </c>
      <c r="S46" s="49" t="e">
        <f>_xlfn.XLOOKUP(K46,数据更新表!R:R,数据更新表!S:S)</f>
        <v>#N/A</v>
      </c>
      <c r="T46" s="49" t="e">
        <f>_xlfn.XLOOKUP(K46,数据更新表!V:V,数据更新表!W:W)</f>
        <v>#N/A</v>
      </c>
      <c r="V46" s="104">
        <f t="shared" si="1"/>
        <v>109.666666666667</v>
      </c>
      <c r="W46" s="98">
        <f t="shared" si="2"/>
        <v>0.428571428571429</v>
      </c>
      <c r="X46" s="98">
        <f t="shared" si="3"/>
        <v>47</v>
      </c>
      <c r="AF46" s="49">
        <f t="shared" si="4"/>
        <v>0</v>
      </c>
      <c r="BI46" s="52"/>
      <c r="BR46" s="52"/>
      <c r="BS46" s="52">
        <f>_xlfn.XLOOKUP(K46,[1]库销表!$F:$F,[1]库销表!$L:$L)</f>
        <v>0</v>
      </c>
      <c r="BT46" s="52">
        <f t="shared" si="5"/>
        <v>0</v>
      </c>
      <c r="BU46" s="49" cm="1">
        <f t="array" ref="BU46:CD46">_xlfn.XLOOKUP(K46,[1]库销表!$F:$F,[1]库销表!$HT:$IC)</f>
        <v>0</v>
      </c>
      <c r="BV46" s="49">
        <v>0</v>
      </c>
      <c r="BW46" s="49">
        <v>0</v>
      </c>
      <c r="BX46" s="49">
        <v>0</v>
      </c>
      <c r="BY46" s="49">
        <v>0</v>
      </c>
      <c r="BZ46" s="49">
        <v>0</v>
      </c>
      <c r="CA46" s="49">
        <v>0</v>
      </c>
      <c r="CB46" s="49">
        <v>0</v>
      </c>
      <c r="CC46" s="49">
        <v>0</v>
      </c>
      <c r="CD46" s="49">
        <v>0</v>
      </c>
      <c r="CW46" s="52">
        <f>_xlfn.XLOOKUP(K46,[1]库销表!$F:$F,[1]库销表!$IE:$IE)</f>
        <v>0</v>
      </c>
      <c r="CX46" s="52">
        <f>_xlfn.XLOOKUP(K46,[1]库销表!$F:$F,[1]库销表!$IF:$IF)</f>
        <v>0</v>
      </c>
      <c r="CY46" s="105">
        <f>_xlfn.XLOOKUP(K46,[1]库销表!$F:$F,[1]库销表!$FL:$FL)</f>
        <v>0</v>
      </c>
      <c r="CZ46" s="52">
        <f>_xlfn.XLOOKUP(K46,数据更新表!E:E,数据更新表!F:F)</f>
        <v>3</v>
      </c>
      <c r="DA46" s="52" t="e">
        <v>#N/A</v>
      </c>
      <c r="DB46" s="52">
        <f>_xlfn.XLOOKUP(K46,数据更新表!E:E,数据更新表!G:G)</f>
        <v>0</v>
      </c>
      <c r="DC46" s="106">
        <f>_xlfn.XLOOKUP(L46,数据更新表!Z:Z,数据更新表!AH:AH)</f>
        <v>0</v>
      </c>
      <c r="DD46" s="49">
        <f>_xlfn.XLOOKUP(L46,数据更新表!Z:Z,数据更新表!AE:AE)</f>
        <v>0</v>
      </c>
      <c r="DE46" s="49">
        <f>_xlfn.XLOOKUP(L46,数据更新表!Z:Z,数据更新表!AF:AF)</f>
        <v>0</v>
      </c>
      <c r="DF46" s="49" t="e">
        <f>_xlfn.XLOOKUP(K46,数据更新表!Z:Z,数据更新表!AG:AG)</f>
        <v>#N/A</v>
      </c>
      <c r="DG46" s="49">
        <f>_xlfn.XLOOKUP(L46,数据更新表!Z:Z,数据更新表!AD:AD)</f>
        <v>0</v>
      </c>
      <c r="DH46" s="49">
        <f>_xlfn.XLOOKUP(L46,数据更新表!Z:Z,数据更新表!AA:AA)</f>
        <v>0</v>
      </c>
      <c r="DI46" s="49">
        <f>_xlfn.XLOOKUP(L46,数据更新表!Z:Z,数据更新表!AB:AB)</f>
        <v>0</v>
      </c>
      <c r="DJ46" s="49">
        <f>_xlfn.XLOOKUP(L46,数据更新表!Z:Z,数据更新表!AC:AC)</f>
        <v>0</v>
      </c>
      <c r="DK46" s="49">
        <f>_xlfn.XLOOKUP(L46,数据更新表!Z:Z,数据更新表!AI:AI)</f>
        <v>0</v>
      </c>
      <c r="DX46" s="98">
        <f>_xlfn.XLOOKUP(L46,数据更新表!J:J,数据更新表!L:L)</f>
        <v>0</v>
      </c>
      <c r="DY46" s="98">
        <f>_xlfn.XLOOKUP(L46,数据更新表!J:J,数据更新表!M:M)</f>
        <v>0</v>
      </c>
      <c r="DZ46" s="122">
        <v>17</v>
      </c>
      <c r="EA46" s="108">
        <f t="shared" si="21"/>
        <v>-1.42443034656605</v>
      </c>
      <c r="EB46" s="98">
        <f t="shared" si="7"/>
        <v>44.37</v>
      </c>
      <c r="EC46" s="109">
        <f t="shared" si="8"/>
        <v>-83.90248</v>
      </c>
      <c r="ED46" s="108" t="e">
        <f t="shared" si="9"/>
        <v>#DIV/0!</v>
      </c>
      <c r="EE46" s="110">
        <f t="shared" si="10"/>
        <v>14.53248</v>
      </c>
      <c r="EF46" s="98" t="str">
        <f t="shared" si="11"/>
        <v>否</v>
      </c>
      <c r="EG46" s="98">
        <f t="shared" si="12"/>
        <v>0</v>
      </c>
      <c r="EH46" s="98">
        <f t="shared" si="22"/>
        <v>0</v>
      </c>
      <c r="EI46" s="101">
        <f>IF(DX46&lt;=298,IF(DX46&lt;99,25,IF(DX46&lt;=149,30,IF(DX46&lt;=299,37,85))),IF(DX46&lt;=498,_xlfn.XLOOKUP(EQ46,运费表!A:A,运费表!C:C,"重量超限",-1),_xlfn.XLOOKUP(EQ46,运费表!A:A,运费表!D:D,"重量超限",-1)))</f>
        <v>25</v>
      </c>
      <c r="EJ46" s="101">
        <f t="shared" si="14"/>
        <v>0</v>
      </c>
      <c r="EK46" s="115" t="e">
        <v>#DIV/0!</v>
      </c>
      <c r="EL46" s="121">
        <v>0.38</v>
      </c>
      <c r="EM46" s="121">
        <v>16</v>
      </c>
      <c r="EN46" s="121">
        <v>14.5</v>
      </c>
      <c r="EO46" s="121">
        <v>10</v>
      </c>
      <c r="EP46" s="98">
        <f t="shared" si="25"/>
        <v>0.464</v>
      </c>
      <c r="EQ46" s="98">
        <f t="shared" si="24"/>
        <v>0.464</v>
      </c>
      <c r="ER46" s="98">
        <f t="shared" si="26"/>
        <v>0.00232</v>
      </c>
    </row>
    <row r="47" hidden="1" customHeight="1" spans="2:148">
      <c r="B47" s="118" t="s">
        <v>248</v>
      </c>
      <c r="C47" s="98">
        <v>10</v>
      </c>
      <c r="D47" s="98">
        <v>25</v>
      </c>
      <c r="E47" s="99">
        <v>45953</v>
      </c>
      <c r="G47" s="98" t="s">
        <v>189</v>
      </c>
      <c r="H47" s="116" t="s">
        <v>249</v>
      </c>
      <c r="J47" s="100" t="s">
        <v>250</v>
      </c>
      <c r="K47" s="100" t="s">
        <v>251</v>
      </c>
      <c r="M47" s="106" t="s">
        <v>183</v>
      </c>
      <c r="N47" s="52">
        <f>_xlfn.XLOOKUP(L47,数据更新表!J:J,数据更新表!K:K)</f>
        <v>0</v>
      </c>
      <c r="O47" s="52">
        <f>IFERROR(_xlfn.XLOOKUP(K47,数据更新表!A:A,数据更新表!B:B),"0")</f>
        <v>42</v>
      </c>
      <c r="P47" s="52">
        <f>_xlfn.XLOOKUP(K47,[1]库销表!$F:$F,[1]库销表!$L:$L)</f>
        <v>0</v>
      </c>
      <c r="Q47" s="103">
        <f t="shared" si="0"/>
        <v>147</v>
      </c>
      <c r="S47" s="49" t="e">
        <f>_xlfn.XLOOKUP(K47,数据更新表!R:R,数据更新表!S:S)</f>
        <v>#N/A</v>
      </c>
      <c r="T47" s="49" t="e">
        <f>_xlfn.XLOOKUP(K47,数据更新表!V:V,数据更新表!W:W)</f>
        <v>#N/A</v>
      </c>
      <c r="V47" s="104">
        <f t="shared" si="1"/>
        <v>147</v>
      </c>
      <c r="W47" s="98">
        <f t="shared" si="2"/>
        <v>0.285714285714286</v>
      </c>
      <c r="X47" s="98">
        <f t="shared" si="3"/>
        <v>42</v>
      </c>
      <c r="AF47" s="49">
        <f t="shared" si="4"/>
        <v>0</v>
      </c>
      <c r="BI47" s="52"/>
      <c r="BR47" s="52"/>
      <c r="BS47" s="52">
        <f>_xlfn.XLOOKUP(K47,[1]库销表!$F:$F,[1]库销表!$L:$L)</f>
        <v>0</v>
      </c>
      <c r="BT47" s="52">
        <f t="shared" si="5"/>
        <v>0</v>
      </c>
      <c r="BU47" s="49" cm="1">
        <f t="array" ref="BU47:CD47">_xlfn.XLOOKUP(K47,[1]库销表!$F:$F,[1]库销表!$HT:$IC)</f>
        <v>0</v>
      </c>
      <c r="BV47" s="49">
        <v>0</v>
      </c>
      <c r="BW47" s="49">
        <v>0</v>
      </c>
      <c r="BX47" s="49">
        <v>0</v>
      </c>
      <c r="BY47" s="49">
        <v>0</v>
      </c>
      <c r="BZ47" s="49">
        <v>0</v>
      </c>
      <c r="CA47" s="49">
        <v>0</v>
      </c>
      <c r="CB47" s="49">
        <v>0</v>
      </c>
      <c r="CC47" s="49">
        <v>0</v>
      </c>
      <c r="CD47" s="49">
        <v>0</v>
      </c>
      <c r="CW47" s="52">
        <f>_xlfn.XLOOKUP(K47,[1]库销表!$F:$F,[1]库销表!$IE:$IE)</f>
        <v>0</v>
      </c>
      <c r="CX47" s="52">
        <f>_xlfn.XLOOKUP(K47,[1]库销表!$F:$F,[1]库销表!$IF:$IF)</f>
        <v>0</v>
      </c>
      <c r="CY47" s="105">
        <f>_xlfn.XLOOKUP(K47,[1]库销表!$F:$F,[1]库销表!$FL:$FL)</f>
        <v>0</v>
      </c>
      <c r="CZ47" s="52">
        <f>_xlfn.XLOOKUP(K47,数据更新表!E:E,数据更新表!F:F)</f>
        <v>2</v>
      </c>
      <c r="DA47" s="52" t="e">
        <v>#N/A</v>
      </c>
      <c r="DB47" s="52">
        <f>_xlfn.XLOOKUP(K47,数据更新表!E:E,数据更新表!G:G)</f>
        <v>2</v>
      </c>
      <c r="DC47" s="106">
        <f>_xlfn.XLOOKUP(L47,数据更新表!Z:Z,数据更新表!AH:AH)</f>
        <v>0</v>
      </c>
      <c r="DD47" s="49">
        <f>_xlfn.XLOOKUP(L47,数据更新表!Z:Z,数据更新表!AE:AE)</f>
        <v>0</v>
      </c>
      <c r="DE47" s="49">
        <f>_xlfn.XLOOKUP(L47,数据更新表!Z:Z,数据更新表!AF:AF)</f>
        <v>0</v>
      </c>
      <c r="DF47" s="49" t="e">
        <f>_xlfn.XLOOKUP(K47,数据更新表!Z:Z,数据更新表!AG:AG)</f>
        <v>#N/A</v>
      </c>
      <c r="DG47" s="49">
        <f>_xlfn.XLOOKUP(L47,数据更新表!Z:Z,数据更新表!AD:AD)</f>
        <v>0</v>
      </c>
      <c r="DH47" s="49">
        <f>_xlfn.XLOOKUP(L47,数据更新表!Z:Z,数据更新表!AA:AA)</f>
        <v>0</v>
      </c>
      <c r="DI47" s="49">
        <f>_xlfn.XLOOKUP(L47,数据更新表!Z:Z,数据更新表!AB:AB)</f>
        <v>0</v>
      </c>
      <c r="DJ47" s="49">
        <f>_xlfn.XLOOKUP(L47,数据更新表!Z:Z,数据更新表!AC:AC)</f>
        <v>0</v>
      </c>
      <c r="DK47" s="49">
        <f>_xlfn.XLOOKUP(L47,数据更新表!Z:Z,数据更新表!AI:AI)</f>
        <v>0</v>
      </c>
      <c r="DX47" s="98">
        <f>_xlfn.XLOOKUP(L47,数据更新表!J:J,数据更新表!L:L)</f>
        <v>0</v>
      </c>
      <c r="DY47" s="98">
        <f>_xlfn.XLOOKUP(L47,数据更新表!J:J,数据更新表!M:M)</f>
        <v>0</v>
      </c>
      <c r="DZ47" s="122">
        <v>27</v>
      </c>
      <c r="EA47" s="108">
        <f t="shared" si="21"/>
        <v>-1.29410906599431</v>
      </c>
      <c r="EB47" s="98">
        <f t="shared" si="7"/>
        <v>70.47</v>
      </c>
      <c r="EC47" s="109">
        <f t="shared" si="8"/>
        <v>-110.00248</v>
      </c>
      <c r="ED47" s="108" t="e">
        <f t="shared" si="9"/>
        <v>#DIV/0!</v>
      </c>
      <c r="EE47" s="110">
        <f t="shared" si="10"/>
        <v>14.53248</v>
      </c>
      <c r="EF47" s="98" t="str">
        <f t="shared" si="11"/>
        <v>否</v>
      </c>
      <c r="EG47" s="98">
        <f t="shared" si="12"/>
        <v>0</v>
      </c>
      <c r="EH47" s="98">
        <f t="shared" si="22"/>
        <v>0</v>
      </c>
      <c r="EI47" s="101">
        <f>IF(DX47&lt;=298,IF(DX47&lt;99,25,IF(DX47&lt;=149,30,IF(DX47&lt;=299,37,85))),IF(DX47&lt;=498,_xlfn.XLOOKUP(EQ47,运费表!A:A,运费表!C:C,"重量超限",-1),_xlfn.XLOOKUP(EQ47,运费表!A:A,运费表!D:D,"重量超限",-1)))</f>
        <v>25</v>
      </c>
      <c r="EJ47" s="101">
        <f t="shared" si="14"/>
        <v>0</v>
      </c>
      <c r="EK47" s="115" t="e">
        <v>#DIV/0!</v>
      </c>
      <c r="EL47" s="121">
        <v>0.38</v>
      </c>
      <c r="EM47" s="121">
        <v>16</v>
      </c>
      <c r="EN47" s="121">
        <v>14.5</v>
      </c>
      <c r="EO47" s="121">
        <v>10</v>
      </c>
      <c r="EP47" s="98">
        <f t="shared" si="25"/>
        <v>0.464</v>
      </c>
      <c r="EQ47" s="98">
        <f t="shared" si="24"/>
        <v>0.464</v>
      </c>
      <c r="ER47" s="98">
        <f t="shared" si="26"/>
        <v>0.00232</v>
      </c>
    </row>
    <row r="48" hidden="1" customHeight="1" spans="2:148">
      <c r="B48" s="118" t="s">
        <v>675</v>
      </c>
      <c r="C48" s="98">
        <v>4</v>
      </c>
      <c r="D48" s="98">
        <v>24</v>
      </c>
      <c r="E48" s="99">
        <v>45953</v>
      </c>
      <c r="G48" s="98" t="s">
        <v>189</v>
      </c>
      <c r="H48" s="116" t="s">
        <v>255</v>
      </c>
      <c r="J48" s="100" t="s">
        <v>676</v>
      </c>
      <c r="K48" s="100" t="s">
        <v>257</v>
      </c>
      <c r="M48" s="106" t="s">
        <v>183</v>
      </c>
      <c r="N48" s="52">
        <f>_xlfn.XLOOKUP(L48,数据更新表!J:J,数据更新表!K:K)</f>
        <v>0</v>
      </c>
      <c r="O48" s="52">
        <f>IFERROR(_xlfn.XLOOKUP(K48,数据更新表!A:A,数据更新表!B:B),"0")</f>
        <v>42</v>
      </c>
      <c r="P48" s="52">
        <f>_xlfn.XLOOKUP(K48,[1]库销表!$F:$F,[1]库销表!$L:$L)</f>
        <v>0</v>
      </c>
      <c r="Q48" s="103">
        <f t="shared" si="0"/>
        <v>294</v>
      </c>
      <c r="S48" s="49" t="e">
        <f>_xlfn.XLOOKUP(K48,数据更新表!R:R,数据更新表!S:S)</f>
        <v>#N/A</v>
      </c>
      <c r="T48" s="49" t="e">
        <f>_xlfn.XLOOKUP(K48,数据更新表!V:V,数据更新表!W:W)</f>
        <v>#N/A</v>
      </c>
      <c r="V48" s="104">
        <f t="shared" si="1"/>
        <v>294</v>
      </c>
      <c r="W48" s="98">
        <f t="shared" si="2"/>
        <v>0.142857142857143</v>
      </c>
      <c r="X48" s="98">
        <f t="shared" si="3"/>
        <v>42</v>
      </c>
      <c r="AF48" s="49">
        <f t="shared" si="4"/>
        <v>0</v>
      </c>
      <c r="BI48" s="52"/>
      <c r="BR48" s="52"/>
      <c r="BS48" s="52">
        <f>_xlfn.XLOOKUP(K48,[1]库销表!$F:$F,[1]库销表!$L:$L)</f>
        <v>0</v>
      </c>
      <c r="BT48" s="52">
        <f t="shared" si="5"/>
        <v>0</v>
      </c>
      <c r="BU48" s="49" cm="1">
        <f t="array" ref="BU48:CD48">_xlfn.XLOOKUP(K48,[1]库销表!$F:$F,[1]库销表!$HT:$IC)</f>
        <v>0</v>
      </c>
      <c r="BV48" s="49">
        <v>0</v>
      </c>
      <c r="BW48" s="49">
        <v>0</v>
      </c>
      <c r="BX48" s="49">
        <v>0</v>
      </c>
      <c r="BY48" s="49">
        <v>0</v>
      </c>
      <c r="BZ48" s="49">
        <v>0</v>
      </c>
      <c r="CA48" s="49">
        <v>0</v>
      </c>
      <c r="CB48" s="49">
        <v>0</v>
      </c>
      <c r="CC48" s="49">
        <v>0</v>
      </c>
      <c r="CD48" s="49">
        <v>0</v>
      </c>
      <c r="CW48" s="52">
        <f>_xlfn.XLOOKUP(K48,[1]库销表!$F:$F,[1]库销表!$IE:$IE)</f>
        <v>0</v>
      </c>
      <c r="CX48" s="52">
        <f>_xlfn.XLOOKUP(K48,[1]库销表!$F:$F,[1]库销表!$IF:$IF)</f>
        <v>0</v>
      </c>
      <c r="CY48" s="105">
        <f>_xlfn.XLOOKUP(K48,[1]库销表!$F:$F,[1]库销表!$FL:$FL)</f>
        <v>0</v>
      </c>
      <c r="CZ48" s="52">
        <f>_xlfn.XLOOKUP(K48,数据更新表!E:E,数据更新表!F:F)</f>
        <v>1</v>
      </c>
      <c r="DA48" s="52" t="e">
        <v>#N/A</v>
      </c>
      <c r="DB48" s="52">
        <f>_xlfn.XLOOKUP(K48,数据更新表!E:E,数据更新表!G:G)</f>
        <v>0</v>
      </c>
      <c r="DC48" s="106">
        <f>_xlfn.XLOOKUP(L48,数据更新表!Z:Z,数据更新表!AH:AH)</f>
        <v>0</v>
      </c>
      <c r="DD48" s="49">
        <f>_xlfn.XLOOKUP(L48,数据更新表!Z:Z,数据更新表!AE:AE)</f>
        <v>0</v>
      </c>
      <c r="DE48" s="49">
        <f>_xlfn.XLOOKUP(L48,数据更新表!Z:Z,数据更新表!AF:AF)</f>
        <v>0</v>
      </c>
      <c r="DF48" s="49" t="e">
        <f>_xlfn.XLOOKUP(K48,数据更新表!Z:Z,数据更新表!AG:AG)</f>
        <v>#N/A</v>
      </c>
      <c r="DG48" s="49">
        <f>_xlfn.XLOOKUP(L48,数据更新表!Z:Z,数据更新表!AD:AD)</f>
        <v>0</v>
      </c>
      <c r="DH48" s="49">
        <f>_xlfn.XLOOKUP(L48,数据更新表!Z:Z,数据更新表!AA:AA)</f>
        <v>0</v>
      </c>
      <c r="DI48" s="49">
        <f>_xlfn.XLOOKUP(L48,数据更新表!Z:Z,数据更新表!AB:AB)</f>
        <v>0</v>
      </c>
      <c r="DJ48" s="49">
        <f>_xlfn.XLOOKUP(L48,数据更新表!Z:Z,数据更新表!AC:AC)</f>
        <v>0</v>
      </c>
      <c r="DK48" s="49">
        <f>_xlfn.XLOOKUP(L48,数据更新表!Z:Z,数据更新表!AI:AI)</f>
        <v>0</v>
      </c>
      <c r="DX48" s="98">
        <f>_xlfn.XLOOKUP(L48,数据更新表!J:J,数据更新表!L:L)</f>
        <v>0</v>
      </c>
      <c r="DY48" s="98">
        <f>_xlfn.XLOOKUP(L48,数据更新表!J:J,数据更新表!M:M)</f>
        <v>0</v>
      </c>
      <c r="DZ48" s="122">
        <v>17</v>
      </c>
      <c r="EA48" s="108">
        <f t="shared" si="21"/>
        <v>-1.42443034656605</v>
      </c>
      <c r="EB48" s="98">
        <f t="shared" si="7"/>
        <v>44.37</v>
      </c>
      <c r="EC48" s="109">
        <f t="shared" si="8"/>
        <v>-83.90248</v>
      </c>
      <c r="ED48" s="108" t="e">
        <f t="shared" si="9"/>
        <v>#DIV/0!</v>
      </c>
      <c r="EE48" s="110">
        <f t="shared" si="10"/>
        <v>14.53248</v>
      </c>
      <c r="EF48" s="98" t="str">
        <f t="shared" si="11"/>
        <v>否</v>
      </c>
      <c r="EG48" s="98">
        <f t="shared" si="12"/>
        <v>0</v>
      </c>
      <c r="EH48" s="98">
        <f t="shared" si="22"/>
        <v>0</v>
      </c>
      <c r="EI48" s="101">
        <f>IF(DX48&lt;=298,IF(DX48&lt;99,25,IF(DX48&lt;=149,30,IF(DX48&lt;=299,37,85))),IF(DX48&lt;=498,_xlfn.XLOOKUP(EQ48,运费表!A:A,运费表!C:C,"重量超限",-1),_xlfn.XLOOKUP(EQ48,运费表!A:A,运费表!D:D,"重量超限",-1)))</f>
        <v>25</v>
      </c>
      <c r="EJ48" s="101">
        <f t="shared" si="14"/>
        <v>0</v>
      </c>
      <c r="EK48" s="115" t="e">
        <v>#DIV/0!</v>
      </c>
      <c r="EL48" s="121">
        <v>0.38</v>
      </c>
      <c r="EM48" s="121">
        <v>16</v>
      </c>
      <c r="EN48" s="121">
        <v>14.5</v>
      </c>
      <c r="EO48" s="121">
        <v>10</v>
      </c>
      <c r="EP48" s="98">
        <f t="shared" si="25"/>
        <v>0.464</v>
      </c>
      <c r="EQ48" s="98">
        <f t="shared" si="24"/>
        <v>0.464</v>
      </c>
      <c r="ER48" s="98">
        <f t="shared" si="26"/>
        <v>0.00232</v>
      </c>
    </row>
    <row r="49" hidden="1" customHeight="1" spans="2:148">
      <c r="B49" s="118" t="s">
        <v>259</v>
      </c>
      <c r="C49" s="98">
        <v>7</v>
      </c>
      <c r="D49" s="98">
        <v>14</v>
      </c>
      <c r="E49" s="99">
        <v>45953</v>
      </c>
      <c r="G49" s="98" t="s">
        <v>189</v>
      </c>
      <c r="H49" s="116" t="s">
        <v>260</v>
      </c>
      <c r="J49" s="100" t="s">
        <v>261</v>
      </c>
      <c r="K49" s="100" t="s">
        <v>262</v>
      </c>
      <c r="M49" s="106" t="s">
        <v>183</v>
      </c>
      <c r="N49" s="52">
        <f>_xlfn.XLOOKUP(L49,数据更新表!J:J,数据更新表!K:K)</f>
        <v>0</v>
      </c>
      <c r="O49" s="52">
        <f>IFERROR(_xlfn.XLOOKUP(K49,数据更新表!A:A,数据更新表!B:B),"0")</f>
        <v>16</v>
      </c>
      <c r="P49" s="52">
        <f>_xlfn.XLOOKUP(K49,[1]库销表!$F:$F,[1]库销表!$L:$L)</f>
        <v>0</v>
      </c>
      <c r="Q49" s="103">
        <f t="shared" si="0"/>
        <v>10.1818181818182</v>
      </c>
      <c r="S49" s="49" t="e">
        <f>_xlfn.XLOOKUP(K49,数据更新表!R:R,数据更新表!S:S)</f>
        <v>#N/A</v>
      </c>
      <c r="T49" s="49" t="e">
        <f>_xlfn.XLOOKUP(K49,数据更新表!V:V,数据更新表!W:W)</f>
        <v>#N/A</v>
      </c>
      <c r="V49" s="104">
        <f t="shared" si="1"/>
        <v>10.1818181818182</v>
      </c>
      <c r="W49" s="98">
        <f t="shared" si="2"/>
        <v>1.57142857142857</v>
      </c>
      <c r="X49" s="98">
        <f t="shared" si="3"/>
        <v>16</v>
      </c>
      <c r="AF49" s="49">
        <f t="shared" si="4"/>
        <v>0</v>
      </c>
      <c r="BI49" s="52"/>
      <c r="BR49" s="52"/>
      <c r="BS49" s="52">
        <f>_xlfn.XLOOKUP(K49,[1]库销表!$F:$F,[1]库销表!$L:$L)</f>
        <v>0</v>
      </c>
      <c r="BT49" s="52">
        <f t="shared" si="5"/>
        <v>0</v>
      </c>
      <c r="BU49" s="49" cm="1">
        <f t="array" ref="BU49:CD49">_xlfn.XLOOKUP(K49,[1]库销表!$F:$F,[1]库销表!$HT:$IC)</f>
        <v>0</v>
      </c>
      <c r="BV49" s="49">
        <v>0</v>
      </c>
      <c r="BW49" s="49">
        <v>0</v>
      </c>
      <c r="BX49" s="49">
        <v>0</v>
      </c>
      <c r="BY49" s="49">
        <v>0</v>
      </c>
      <c r="BZ49" s="49">
        <v>0</v>
      </c>
      <c r="CA49" s="49">
        <v>0</v>
      </c>
      <c r="CB49" s="49">
        <v>0</v>
      </c>
      <c r="CC49" s="49">
        <v>0</v>
      </c>
      <c r="CD49" s="49">
        <v>0</v>
      </c>
      <c r="CW49" s="52">
        <f>_xlfn.XLOOKUP(K49,[1]库销表!$F:$F,[1]库销表!$IE:$IE)</f>
        <v>0</v>
      </c>
      <c r="CX49" s="52">
        <f>_xlfn.XLOOKUP(K49,[1]库销表!$F:$F,[1]库销表!$IF:$IF)</f>
        <v>0</v>
      </c>
      <c r="CY49" s="105">
        <f>_xlfn.XLOOKUP(K49,[1]库销表!$F:$F,[1]库销表!$FL:$FL)</f>
        <v>0</v>
      </c>
      <c r="CZ49" s="52">
        <f>_xlfn.XLOOKUP(K49,数据更新表!E:E,数据更新表!F:F)</f>
        <v>11</v>
      </c>
      <c r="DA49" s="52" t="e">
        <v>#N/A</v>
      </c>
      <c r="DB49" s="52">
        <f>_xlfn.XLOOKUP(K49,数据更新表!E:E,数据更新表!G:G)</f>
        <v>1</v>
      </c>
      <c r="DC49" s="106">
        <f>_xlfn.XLOOKUP(L49,数据更新表!Z:Z,数据更新表!AH:AH)</f>
        <v>0</v>
      </c>
      <c r="DD49" s="49">
        <f>_xlfn.XLOOKUP(L49,数据更新表!Z:Z,数据更新表!AE:AE)</f>
        <v>0</v>
      </c>
      <c r="DE49" s="49">
        <f>_xlfn.XLOOKUP(L49,数据更新表!Z:Z,数据更新表!AF:AF)</f>
        <v>0</v>
      </c>
      <c r="DF49" s="49" t="e">
        <f>_xlfn.XLOOKUP(K49,数据更新表!Z:Z,数据更新表!AG:AG)</f>
        <v>#N/A</v>
      </c>
      <c r="DG49" s="49">
        <f>_xlfn.XLOOKUP(L49,数据更新表!Z:Z,数据更新表!AD:AD)</f>
        <v>0</v>
      </c>
      <c r="DH49" s="49">
        <f>_xlfn.XLOOKUP(L49,数据更新表!Z:Z,数据更新表!AA:AA)</f>
        <v>0</v>
      </c>
      <c r="DI49" s="49">
        <f>_xlfn.XLOOKUP(L49,数据更新表!Z:Z,数据更新表!AB:AB)</f>
        <v>0</v>
      </c>
      <c r="DJ49" s="49">
        <f>_xlfn.XLOOKUP(L49,数据更新表!Z:Z,数据更新表!AC:AC)</f>
        <v>0</v>
      </c>
      <c r="DK49" s="49">
        <f>_xlfn.XLOOKUP(L49,数据更新表!Z:Z,数据更新表!AI:AI)</f>
        <v>0</v>
      </c>
      <c r="DX49" s="98">
        <f>_xlfn.XLOOKUP(L49,数据更新表!J:J,数据更新表!L:L)</f>
        <v>0</v>
      </c>
      <c r="DY49" s="98">
        <f>_xlfn.XLOOKUP(L49,数据更新表!J:J,数据更新表!M:M)</f>
        <v>0</v>
      </c>
      <c r="DZ49" s="122">
        <v>33</v>
      </c>
      <c r="EA49" s="108">
        <f t="shared" si="21"/>
        <v>-1.24835469978487</v>
      </c>
      <c r="EB49" s="98">
        <f t="shared" si="7"/>
        <v>86.13</v>
      </c>
      <c r="EC49" s="109">
        <f t="shared" si="8"/>
        <v>-125.66248</v>
      </c>
      <c r="ED49" s="108" t="e">
        <f t="shared" si="9"/>
        <v>#DIV/0!</v>
      </c>
      <c r="EE49" s="110">
        <f t="shared" si="10"/>
        <v>14.53248</v>
      </c>
      <c r="EF49" s="98" t="str">
        <f t="shared" si="11"/>
        <v>否</v>
      </c>
      <c r="EG49" s="98">
        <f t="shared" si="12"/>
        <v>0</v>
      </c>
      <c r="EH49" s="98">
        <f t="shared" si="22"/>
        <v>0</v>
      </c>
      <c r="EI49" s="101">
        <f>IF(DX49&lt;=298,IF(DX49&lt;99,25,IF(DX49&lt;=149,30,IF(DX49&lt;=299,37,85))),IF(DX49&lt;=498,_xlfn.XLOOKUP(EQ49,运费表!A:A,运费表!C:C,"重量超限",-1),_xlfn.XLOOKUP(EQ49,运费表!A:A,运费表!D:D,"重量超限",-1)))</f>
        <v>25</v>
      </c>
      <c r="EJ49" s="101">
        <f t="shared" si="14"/>
        <v>0</v>
      </c>
      <c r="EK49" s="115" t="e">
        <v>#DIV/0!</v>
      </c>
      <c r="EL49" s="121">
        <v>0.38</v>
      </c>
      <c r="EM49" s="121">
        <v>16</v>
      </c>
      <c r="EN49" s="121">
        <v>14.5</v>
      </c>
      <c r="EO49" s="121">
        <v>10</v>
      </c>
      <c r="EP49" s="98">
        <f t="shared" si="25"/>
        <v>0.464</v>
      </c>
      <c r="EQ49" s="98">
        <f t="shared" si="24"/>
        <v>0.464</v>
      </c>
      <c r="ER49" s="98">
        <f t="shared" si="26"/>
        <v>0.00232</v>
      </c>
    </row>
    <row r="50" hidden="1" customHeight="1" spans="2:148">
      <c r="B50" s="118" t="s">
        <v>268</v>
      </c>
      <c r="C50" s="98">
        <v>21</v>
      </c>
      <c r="D50" s="98">
        <v>62</v>
      </c>
      <c r="E50" s="99">
        <v>45944</v>
      </c>
      <c r="G50" s="98" t="s">
        <v>269</v>
      </c>
      <c r="H50" s="116" t="s">
        <v>270</v>
      </c>
      <c r="J50" s="100" t="s">
        <v>271</v>
      </c>
      <c r="K50" s="100" t="s">
        <v>272</v>
      </c>
      <c r="M50" s="106" t="s">
        <v>183</v>
      </c>
      <c r="N50" s="52">
        <f>_xlfn.XLOOKUP(L50,数据更新表!J:J,数据更新表!K:K)</f>
        <v>0</v>
      </c>
      <c r="O50" s="52" t="str">
        <f>IFERROR(_xlfn.XLOOKUP(K50,数据更新表!A:A,数据更新表!B:B),"0")</f>
        <v>0</v>
      </c>
      <c r="P50" s="52">
        <f>_xlfn.XLOOKUP(K50,[1]库销表!$F:$F,[1]库销表!$L:$L)</f>
        <v>0</v>
      </c>
      <c r="Q50" s="103" t="e">
        <f t="shared" si="0"/>
        <v>#N/A</v>
      </c>
      <c r="S50" s="49" t="e">
        <f>_xlfn.XLOOKUP(K50,数据更新表!R:R,数据更新表!S:S)</f>
        <v>#N/A</v>
      </c>
      <c r="T50" s="49" t="e">
        <f>_xlfn.XLOOKUP(K50,数据更新表!V:V,数据更新表!W:W)</f>
        <v>#N/A</v>
      </c>
      <c r="V50" s="104" t="str">
        <f t="shared" si="1"/>
        <v>0</v>
      </c>
      <c r="W50" s="98" t="e">
        <f t="shared" si="2"/>
        <v>#N/A</v>
      </c>
      <c r="X50" s="98">
        <f t="shared" si="3"/>
        <v>0</v>
      </c>
      <c r="AF50" s="49">
        <f t="shared" si="4"/>
        <v>0</v>
      </c>
      <c r="BI50" s="52"/>
      <c r="BR50" s="52"/>
      <c r="BS50" s="52">
        <f>_xlfn.XLOOKUP(K50,[1]库销表!$F:$F,[1]库销表!$L:$L)</f>
        <v>0</v>
      </c>
      <c r="BT50" s="52">
        <f t="shared" si="5"/>
        <v>0</v>
      </c>
      <c r="BU50" s="49" cm="1">
        <f t="array" ref="BU50:CD50">_xlfn.XLOOKUP(K50,[1]库销表!$F:$F,[1]库销表!$HT:$IC)</f>
        <v>0</v>
      </c>
      <c r="BV50" s="49">
        <v>0</v>
      </c>
      <c r="BW50" s="49">
        <v>0</v>
      </c>
      <c r="BX50" s="49">
        <v>0</v>
      </c>
      <c r="BY50" s="49">
        <v>0</v>
      </c>
      <c r="BZ50" s="49">
        <v>0</v>
      </c>
      <c r="CA50" s="49">
        <v>0</v>
      </c>
      <c r="CB50" s="49">
        <v>0</v>
      </c>
      <c r="CC50" s="49">
        <v>0</v>
      </c>
      <c r="CD50" s="49">
        <v>0</v>
      </c>
      <c r="CW50" s="52">
        <f>_xlfn.XLOOKUP(K50,[1]库销表!$F:$F,[1]库销表!$IE:$IE)</f>
        <v>0</v>
      </c>
      <c r="CX50" s="52">
        <f>_xlfn.XLOOKUP(K50,[1]库销表!$F:$F,[1]库销表!$IF:$IF)</f>
        <v>0</v>
      </c>
      <c r="CY50" s="105">
        <f>_xlfn.XLOOKUP(K50,[1]库销表!$F:$F,[1]库销表!$FL:$FL)</f>
        <v>0</v>
      </c>
      <c r="CZ50" s="52" t="e">
        <f>_xlfn.XLOOKUP(K50,数据更新表!E:E,数据更新表!F:F)</f>
        <v>#N/A</v>
      </c>
      <c r="DA50" s="52" t="e">
        <v>#N/A</v>
      </c>
      <c r="DB50" s="52" t="e">
        <f>_xlfn.XLOOKUP(K50,数据更新表!E:E,数据更新表!G:G)</f>
        <v>#N/A</v>
      </c>
      <c r="DC50" s="106">
        <f>_xlfn.XLOOKUP(L50,数据更新表!Z:Z,数据更新表!AH:AH)</f>
        <v>0</v>
      </c>
      <c r="DD50" s="49">
        <f>_xlfn.XLOOKUP(L50,数据更新表!Z:Z,数据更新表!AE:AE)</f>
        <v>0</v>
      </c>
      <c r="DE50" s="49">
        <f>_xlfn.XLOOKUP(L50,数据更新表!Z:Z,数据更新表!AF:AF)</f>
        <v>0</v>
      </c>
      <c r="DF50" s="49" t="e">
        <f>_xlfn.XLOOKUP(K50,数据更新表!Z:Z,数据更新表!AG:AG)</f>
        <v>#N/A</v>
      </c>
      <c r="DG50" s="49">
        <f>_xlfn.XLOOKUP(L50,数据更新表!Z:Z,数据更新表!AD:AD)</f>
        <v>0</v>
      </c>
      <c r="DH50" s="49">
        <f>_xlfn.XLOOKUP(L50,数据更新表!Z:Z,数据更新表!AA:AA)</f>
        <v>0</v>
      </c>
      <c r="DI50" s="49">
        <f>_xlfn.XLOOKUP(L50,数据更新表!Z:Z,数据更新表!AB:AB)</f>
        <v>0</v>
      </c>
      <c r="DJ50" s="49">
        <f>_xlfn.XLOOKUP(L50,数据更新表!Z:Z,数据更新表!AC:AC)</f>
        <v>0</v>
      </c>
      <c r="DK50" s="49">
        <f>_xlfn.XLOOKUP(L50,数据更新表!Z:Z,数据更新表!AI:AI)</f>
        <v>0</v>
      </c>
      <c r="DX50" s="98">
        <f>_xlfn.XLOOKUP(L50,数据更新表!J:J,数据更新表!L:L)</f>
        <v>0</v>
      </c>
      <c r="DY50" s="98">
        <f>_xlfn.XLOOKUP(L50,数据更新表!J:J,数据更新表!M:M)</f>
        <v>0</v>
      </c>
      <c r="DZ50" s="98">
        <v>140</v>
      </c>
      <c r="EA50" s="108">
        <f t="shared" si="21"/>
        <v>-1.06150943241733</v>
      </c>
      <c r="EB50" s="98">
        <f t="shared" si="7"/>
        <v>365.4</v>
      </c>
      <c r="EC50" s="109">
        <f t="shared" si="8"/>
        <v>-431.441728</v>
      </c>
      <c r="ED50" s="108" t="e">
        <f t="shared" si="9"/>
        <v>#DIV/0!</v>
      </c>
      <c r="EE50" s="110">
        <f t="shared" si="10"/>
        <v>41.041728</v>
      </c>
      <c r="EF50" s="98" t="str">
        <f t="shared" si="11"/>
        <v>否</v>
      </c>
      <c r="EG50" s="98">
        <f t="shared" si="12"/>
        <v>0</v>
      </c>
      <c r="EH50" s="98">
        <f t="shared" si="22"/>
        <v>0</v>
      </c>
      <c r="EI50" s="101">
        <f>IF(DX50&lt;=298,IF(DX50&lt;99,25,IF(DX50&lt;=149,30,IF(DX50&lt;=299,37,85))),IF(DX50&lt;=498,_xlfn.XLOOKUP(EQ50,运费表!A:A,运费表!C:C,"重量超限",-1),_xlfn.XLOOKUP(EQ50,运费表!A:A,运费表!D:D,"重量超限",-1)))</f>
        <v>25</v>
      </c>
      <c r="EJ50" s="101">
        <f t="shared" si="14"/>
        <v>0</v>
      </c>
      <c r="EK50" s="108" t="e">
        <v>#DIV/0!</v>
      </c>
      <c r="EL50" s="98">
        <v>3.3</v>
      </c>
      <c r="EM50" s="98">
        <v>26</v>
      </c>
      <c r="EN50" s="98">
        <v>16.8</v>
      </c>
      <c r="EO50" s="98">
        <v>15</v>
      </c>
      <c r="EP50" s="98">
        <f t="shared" si="25"/>
        <v>1.3104</v>
      </c>
      <c r="EQ50" s="98">
        <f t="shared" si="24"/>
        <v>3.3</v>
      </c>
      <c r="ER50" s="98">
        <f t="shared" si="26"/>
        <v>0.006552</v>
      </c>
    </row>
    <row r="51" hidden="1" customHeight="1" spans="2:148">
      <c r="B51" s="118" t="s">
        <v>273</v>
      </c>
      <c r="C51" s="98">
        <v>2</v>
      </c>
      <c r="D51" s="98">
        <v>58</v>
      </c>
      <c r="E51" s="99">
        <v>45944</v>
      </c>
      <c r="G51" s="98" t="s">
        <v>269</v>
      </c>
      <c r="H51" s="116" t="s">
        <v>274</v>
      </c>
      <c r="J51" s="100" t="s">
        <v>275</v>
      </c>
      <c r="K51" s="100" t="s">
        <v>276</v>
      </c>
      <c r="M51" s="106" t="s">
        <v>183</v>
      </c>
      <c r="N51" s="52">
        <f>_xlfn.XLOOKUP(L51,数据更新表!J:J,数据更新表!K:K)</f>
        <v>0</v>
      </c>
      <c r="O51" s="52" t="str">
        <f>IFERROR(_xlfn.XLOOKUP(K51,数据更新表!A:A,数据更新表!B:B),"0")</f>
        <v>0</v>
      </c>
      <c r="P51" s="52">
        <f>_xlfn.XLOOKUP(K51,[1]库销表!$F:$F,[1]库销表!$L:$L)</f>
        <v>0</v>
      </c>
      <c r="Q51" s="103" t="e">
        <f t="shared" si="0"/>
        <v>#N/A</v>
      </c>
      <c r="S51" s="49" t="e">
        <f>_xlfn.XLOOKUP(K51,数据更新表!R:R,数据更新表!S:S)</f>
        <v>#N/A</v>
      </c>
      <c r="T51" s="49" t="e">
        <f>_xlfn.XLOOKUP(K51,数据更新表!V:V,数据更新表!W:W)</f>
        <v>#N/A</v>
      </c>
      <c r="V51" s="104" t="str">
        <f t="shared" si="1"/>
        <v>0</v>
      </c>
      <c r="W51" s="98" t="e">
        <f t="shared" si="2"/>
        <v>#N/A</v>
      </c>
      <c r="X51" s="98">
        <f t="shared" si="3"/>
        <v>0</v>
      </c>
      <c r="AF51" s="49">
        <f t="shared" si="4"/>
        <v>0</v>
      </c>
      <c r="BI51" s="52"/>
      <c r="BR51" s="52"/>
      <c r="BS51" s="52">
        <f>_xlfn.XLOOKUP(K51,[1]库销表!$F:$F,[1]库销表!$L:$L)</f>
        <v>0</v>
      </c>
      <c r="BT51" s="52">
        <f t="shared" si="5"/>
        <v>0</v>
      </c>
      <c r="BU51" s="49" cm="1">
        <f t="array" ref="BU51:CD51">_xlfn.XLOOKUP(K51,[1]库销表!$F:$F,[1]库销表!$HT:$IC)</f>
        <v>0</v>
      </c>
      <c r="BV51" s="49">
        <v>0</v>
      </c>
      <c r="BW51" s="49">
        <v>0</v>
      </c>
      <c r="BX51" s="49">
        <v>0</v>
      </c>
      <c r="BY51" s="49">
        <v>0</v>
      </c>
      <c r="BZ51" s="49">
        <v>0</v>
      </c>
      <c r="CA51" s="49">
        <v>0</v>
      </c>
      <c r="CB51" s="49">
        <v>0</v>
      </c>
      <c r="CC51" s="49">
        <v>0</v>
      </c>
      <c r="CD51" s="49">
        <v>0</v>
      </c>
      <c r="CW51" s="52">
        <f>_xlfn.XLOOKUP(K51,[1]库销表!$F:$F,[1]库销表!$IE:$IE)</f>
        <v>0</v>
      </c>
      <c r="CX51" s="52">
        <f>_xlfn.XLOOKUP(K51,[1]库销表!$F:$F,[1]库销表!$IF:$IF)</f>
        <v>0</v>
      </c>
      <c r="CY51" s="105">
        <f>_xlfn.XLOOKUP(K51,[1]库销表!$F:$F,[1]库销表!$FL:$FL)</f>
        <v>0</v>
      </c>
      <c r="CZ51" s="52" t="e">
        <f>_xlfn.XLOOKUP(K51,数据更新表!E:E,数据更新表!F:F)</f>
        <v>#N/A</v>
      </c>
      <c r="DA51" s="52" t="e">
        <v>#N/A</v>
      </c>
      <c r="DB51" s="52" t="e">
        <f>_xlfn.XLOOKUP(K51,数据更新表!E:E,数据更新表!G:G)</f>
        <v>#N/A</v>
      </c>
      <c r="DC51" s="106">
        <f>_xlfn.XLOOKUP(L51,数据更新表!Z:Z,数据更新表!AH:AH)</f>
        <v>0</v>
      </c>
      <c r="DD51" s="49">
        <f>_xlfn.XLOOKUP(L51,数据更新表!Z:Z,数据更新表!AE:AE)</f>
        <v>0</v>
      </c>
      <c r="DE51" s="49">
        <f>_xlfn.XLOOKUP(L51,数据更新表!Z:Z,数据更新表!AF:AF)</f>
        <v>0</v>
      </c>
      <c r="DF51" s="49" t="e">
        <f>_xlfn.XLOOKUP(K51,数据更新表!Z:Z,数据更新表!AG:AG)</f>
        <v>#N/A</v>
      </c>
      <c r="DG51" s="49">
        <f>_xlfn.XLOOKUP(L51,数据更新表!Z:Z,数据更新表!AD:AD)</f>
        <v>0</v>
      </c>
      <c r="DH51" s="49">
        <f>_xlfn.XLOOKUP(L51,数据更新表!Z:Z,数据更新表!AA:AA)</f>
        <v>0</v>
      </c>
      <c r="DI51" s="49">
        <f>_xlfn.XLOOKUP(L51,数据更新表!Z:Z,数据更新表!AB:AB)</f>
        <v>0</v>
      </c>
      <c r="DJ51" s="49">
        <f>_xlfn.XLOOKUP(L51,数据更新表!Z:Z,数据更新表!AC:AC)</f>
        <v>0</v>
      </c>
      <c r="DK51" s="49">
        <f>_xlfn.XLOOKUP(L51,数据更新表!Z:Z,数据更新表!AI:AI)</f>
        <v>0</v>
      </c>
      <c r="DX51" s="98">
        <f>_xlfn.XLOOKUP(L51,数据更新表!J:J,数据更新表!L:L)</f>
        <v>0</v>
      </c>
      <c r="DY51" s="98">
        <f>_xlfn.XLOOKUP(L51,数据更新表!J:J,数据更新表!M:M)</f>
        <v>0</v>
      </c>
      <c r="DZ51" s="98">
        <v>120</v>
      </c>
      <c r="EA51" s="108">
        <f t="shared" si="21"/>
        <v>-1.070573278143</v>
      </c>
      <c r="EB51" s="98">
        <f t="shared" si="7"/>
        <v>313.2</v>
      </c>
      <c r="EC51" s="109">
        <f t="shared" si="8"/>
        <v>-379.241728</v>
      </c>
      <c r="ED51" s="108" t="e">
        <f t="shared" si="9"/>
        <v>#DIV/0!</v>
      </c>
      <c r="EE51" s="110">
        <f t="shared" si="10"/>
        <v>41.041728</v>
      </c>
      <c r="EF51" s="98" t="str">
        <f t="shared" si="11"/>
        <v>否</v>
      </c>
      <c r="EG51" s="98">
        <f t="shared" si="12"/>
        <v>0</v>
      </c>
      <c r="EH51" s="98">
        <f t="shared" si="22"/>
        <v>0</v>
      </c>
      <c r="EI51" s="101">
        <f>IF(DX51&lt;=298,IF(DX51&lt;99,25,IF(DX51&lt;=149,30,IF(DX51&lt;=299,37,85))),IF(DX51&lt;=498,_xlfn.XLOOKUP(EQ51,运费表!A:A,运费表!C:C,"重量超限",-1),_xlfn.XLOOKUP(EQ51,运费表!A:A,运费表!D:D,"重量超限",-1)))</f>
        <v>25</v>
      </c>
      <c r="EJ51" s="101">
        <f t="shared" si="14"/>
        <v>0</v>
      </c>
      <c r="EK51" s="108" t="e">
        <v>#DIV/0!</v>
      </c>
      <c r="EL51" s="98">
        <v>3.3</v>
      </c>
      <c r="EM51" s="98">
        <v>26</v>
      </c>
      <c r="EN51" s="98">
        <v>16.8</v>
      </c>
      <c r="EO51" s="98">
        <v>15</v>
      </c>
      <c r="EP51" s="98">
        <f t="shared" si="25"/>
        <v>1.3104</v>
      </c>
      <c r="EQ51" s="98">
        <f t="shared" si="24"/>
        <v>3.3</v>
      </c>
      <c r="ER51" s="98">
        <f t="shared" si="26"/>
        <v>0.006552</v>
      </c>
    </row>
    <row r="52" hidden="1" customHeight="1" spans="2:148">
      <c r="B52" s="118" t="s">
        <v>277</v>
      </c>
      <c r="C52" s="98">
        <v>48</v>
      </c>
      <c r="D52" s="98">
        <v>236</v>
      </c>
      <c r="E52" s="99">
        <v>45944</v>
      </c>
      <c r="G52" s="98" t="s">
        <v>269</v>
      </c>
      <c r="H52" s="116" t="s">
        <v>278</v>
      </c>
      <c r="J52" s="100" t="s">
        <v>279</v>
      </c>
      <c r="K52" s="100" t="s">
        <v>280</v>
      </c>
      <c r="M52" s="106" t="s">
        <v>183</v>
      </c>
      <c r="N52" s="52">
        <f>_xlfn.XLOOKUP(L52,数据更新表!J:J,数据更新表!K:K)</f>
        <v>0</v>
      </c>
      <c r="O52" s="52" t="str">
        <f>IFERROR(_xlfn.XLOOKUP(K52,数据更新表!A:A,数据更新表!B:B),"0")</f>
        <v>0</v>
      </c>
      <c r="P52" s="52">
        <f>_xlfn.XLOOKUP(K52,[1]库销表!$F:$F,[1]库销表!$L:$L)</f>
        <v>0</v>
      </c>
      <c r="Q52" s="103" t="e">
        <f t="shared" si="0"/>
        <v>#N/A</v>
      </c>
      <c r="S52" s="49" t="e">
        <f>_xlfn.XLOOKUP(K52,数据更新表!R:R,数据更新表!S:S)</f>
        <v>#N/A</v>
      </c>
      <c r="T52" s="49" t="e">
        <f>_xlfn.XLOOKUP(K52,数据更新表!V:V,数据更新表!W:W)</f>
        <v>#N/A</v>
      </c>
      <c r="V52" s="104" t="str">
        <f t="shared" si="1"/>
        <v>0</v>
      </c>
      <c r="W52" s="98" t="e">
        <f t="shared" si="2"/>
        <v>#N/A</v>
      </c>
      <c r="X52" s="98">
        <f t="shared" si="3"/>
        <v>0</v>
      </c>
      <c r="AF52" s="49">
        <f t="shared" si="4"/>
        <v>0</v>
      </c>
      <c r="BI52" s="52"/>
      <c r="BR52" s="52"/>
      <c r="BS52" s="52">
        <f>_xlfn.XLOOKUP(K52,[1]库销表!$F:$F,[1]库销表!$L:$L)</f>
        <v>0</v>
      </c>
      <c r="BT52" s="52">
        <f t="shared" si="5"/>
        <v>0</v>
      </c>
      <c r="BU52" s="49" cm="1">
        <f t="array" ref="BU52:CD52">_xlfn.XLOOKUP(K52,[1]库销表!$F:$F,[1]库销表!$HT:$IC)</f>
        <v>0</v>
      </c>
      <c r="BV52" s="49">
        <v>0</v>
      </c>
      <c r="BW52" s="49">
        <v>0</v>
      </c>
      <c r="BX52" s="49">
        <v>0</v>
      </c>
      <c r="BY52" s="49">
        <v>0</v>
      </c>
      <c r="BZ52" s="49">
        <v>0</v>
      </c>
      <c r="CA52" s="49">
        <v>0</v>
      </c>
      <c r="CB52" s="49">
        <v>0</v>
      </c>
      <c r="CC52" s="49">
        <v>0</v>
      </c>
      <c r="CD52" s="49">
        <v>0</v>
      </c>
      <c r="CW52" s="52">
        <f>_xlfn.XLOOKUP(K52,[1]库销表!$F:$F,[1]库销表!$IE:$IE)</f>
        <v>0</v>
      </c>
      <c r="CX52" s="52">
        <f>_xlfn.XLOOKUP(K52,[1]库销表!$F:$F,[1]库销表!$IF:$IF)</f>
        <v>0</v>
      </c>
      <c r="CY52" s="105">
        <f>_xlfn.XLOOKUP(K52,[1]库销表!$F:$F,[1]库销表!$FL:$FL)</f>
        <v>0</v>
      </c>
      <c r="CZ52" s="52" t="e">
        <f>_xlfn.XLOOKUP(K52,数据更新表!E:E,数据更新表!F:F)</f>
        <v>#N/A</v>
      </c>
      <c r="DA52" s="52" t="e">
        <v>#N/A</v>
      </c>
      <c r="DB52" s="52" t="e">
        <f>_xlfn.XLOOKUP(K52,数据更新表!E:E,数据更新表!G:G)</f>
        <v>#N/A</v>
      </c>
      <c r="DC52" s="106">
        <f>_xlfn.XLOOKUP(L52,数据更新表!Z:Z,数据更新表!AH:AH)</f>
        <v>0</v>
      </c>
      <c r="DD52" s="49">
        <f>_xlfn.XLOOKUP(L52,数据更新表!Z:Z,数据更新表!AE:AE)</f>
        <v>0</v>
      </c>
      <c r="DE52" s="49">
        <f>_xlfn.XLOOKUP(L52,数据更新表!Z:Z,数据更新表!AF:AF)</f>
        <v>0</v>
      </c>
      <c r="DF52" s="49" t="e">
        <f>_xlfn.XLOOKUP(K52,数据更新表!Z:Z,数据更新表!AG:AG)</f>
        <v>#N/A</v>
      </c>
      <c r="DG52" s="49">
        <f>_xlfn.XLOOKUP(L52,数据更新表!Z:Z,数据更新表!AD:AD)</f>
        <v>0</v>
      </c>
      <c r="DH52" s="49">
        <f>_xlfn.XLOOKUP(L52,数据更新表!Z:Z,数据更新表!AA:AA)</f>
        <v>0</v>
      </c>
      <c r="DI52" s="49">
        <f>_xlfn.XLOOKUP(L52,数据更新表!Z:Z,数据更新表!AB:AB)</f>
        <v>0</v>
      </c>
      <c r="DJ52" s="49">
        <f>_xlfn.XLOOKUP(L52,数据更新表!Z:Z,数据更新表!AC:AC)</f>
        <v>0</v>
      </c>
      <c r="DK52" s="49">
        <f>_xlfn.XLOOKUP(L52,数据更新表!Z:Z,数据更新表!AI:AI)</f>
        <v>0</v>
      </c>
      <c r="DX52" s="98">
        <f>_xlfn.XLOOKUP(L52,数据更新表!J:J,数据更新表!L:L)</f>
        <v>0</v>
      </c>
      <c r="DY52" s="98">
        <f>_xlfn.XLOOKUP(L52,数据更新表!J:J,数据更新表!M:M)</f>
        <v>0</v>
      </c>
      <c r="DZ52" s="98">
        <v>115</v>
      </c>
      <c r="EA52" s="108">
        <f t="shared" si="21"/>
        <v>-1.07327258531895</v>
      </c>
      <c r="EB52" s="98">
        <f t="shared" si="7"/>
        <v>300.15</v>
      </c>
      <c r="EC52" s="109">
        <f t="shared" si="8"/>
        <v>-366.191728</v>
      </c>
      <c r="ED52" s="108" t="e">
        <f t="shared" si="9"/>
        <v>#DIV/0!</v>
      </c>
      <c r="EE52" s="110">
        <f t="shared" si="10"/>
        <v>41.041728</v>
      </c>
      <c r="EF52" s="98" t="str">
        <f t="shared" si="11"/>
        <v>否</v>
      </c>
      <c r="EG52" s="98">
        <f t="shared" si="12"/>
        <v>0</v>
      </c>
      <c r="EH52" s="98">
        <f t="shared" si="22"/>
        <v>0</v>
      </c>
      <c r="EI52" s="101">
        <f>IF(DX52&lt;=298,IF(DX52&lt;99,25,IF(DX52&lt;=149,30,IF(DX52&lt;=299,37,85))),IF(DX52&lt;=498,_xlfn.XLOOKUP(EQ52,运费表!A:A,运费表!C:C,"重量超限",-1),_xlfn.XLOOKUP(EQ52,运费表!A:A,运费表!D:D,"重量超限",-1)))</f>
        <v>25</v>
      </c>
      <c r="EJ52" s="101">
        <f t="shared" si="14"/>
        <v>0</v>
      </c>
      <c r="EK52" s="108" t="e">
        <v>#DIV/0!</v>
      </c>
      <c r="EL52" s="98">
        <v>3.3</v>
      </c>
      <c r="EM52" s="98">
        <v>26</v>
      </c>
      <c r="EN52" s="98">
        <v>16.8</v>
      </c>
      <c r="EO52" s="98">
        <v>15</v>
      </c>
      <c r="EP52" s="98">
        <f t="shared" si="25"/>
        <v>1.3104</v>
      </c>
      <c r="EQ52" s="98">
        <f t="shared" si="24"/>
        <v>3.3</v>
      </c>
      <c r="ER52" s="98">
        <f t="shared" si="26"/>
        <v>0.006552</v>
      </c>
    </row>
    <row r="53" hidden="1" customHeight="1" spans="2:148">
      <c r="B53" s="118" t="s">
        <v>281</v>
      </c>
      <c r="C53" s="98">
        <v>16</v>
      </c>
      <c r="D53" s="98">
        <v>56</v>
      </c>
      <c r="E53" s="99">
        <v>45944</v>
      </c>
      <c r="G53" s="98" t="s">
        <v>269</v>
      </c>
      <c r="H53" s="116" t="s">
        <v>282</v>
      </c>
      <c r="J53" s="100" t="s">
        <v>283</v>
      </c>
      <c r="K53" s="100" t="s">
        <v>284</v>
      </c>
      <c r="M53" s="106" t="s">
        <v>183</v>
      </c>
      <c r="N53" s="52">
        <f>_xlfn.XLOOKUP(L53,数据更新表!J:J,数据更新表!K:K)</f>
        <v>0</v>
      </c>
      <c r="O53" s="52" t="str">
        <f>IFERROR(_xlfn.XLOOKUP(K53,数据更新表!A:A,数据更新表!B:B),"0")</f>
        <v>0</v>
      </c>
      <c r="P53" s="52">
        <f>_xlfn.XLOOKUP(K53,[1]库销表!$F:$F,[1]库销表!$L:$L)</f>
        <v>0</v>
      </c>
      <c r="Q53" s="103" t="e">
        <f t="shared" si="0"/>
        <v>#N/A</v>
      </c>
      <c r="S53" s="49" t="e">
        <f>_xlfn.XLOOKUP(K53,数据更新表!R:R,数据更新表!S:S)</f>
        <v>#N/A</v>
      </c>
      <c r="T53" s="49" t="e">
        <f>_xlfn.XLOOKUP(K53,数据更新表!V:V,数据更新表!W:W)</f>
        <v>#N/A</v>
      </c>
      <c r="V53" s="104" t="str">
        <f t="shared" si="1"/>
        <v>0</v>
      </c>
      <c r="W53" s="98" t="e">
        <f t="shared" si="2"/>
        <v>#N/A</v>
      </c>
      <c r="X53" s="98">
        <f t="shared" si="3"/>
        <v>0</v>
      </c>
      <c r="AF53" s="49">
        <f t="shared" si="4"/>
        <v>0</v>
      </c>
      <c r="BI53" s="52"/>
      <c r="BR53" s="52"/>
      <c r="BS53" s="52">
        <f>_xlfn.XLOOKUP(K53,[1]库销表!$F:$F,[1]库销表!$L:$L)</f>
        <v>0</v>
      </c>
      <c r="BT53" s="52">
        <f t="shared" si="5"/>
        <v>0</v>
      </c>
      <c r="BU53" s="49" cm="1">
        <f t="array" ref="BU53:CD53">_xlfn.XLOOKUP(K53,[1]库销表!$F:$F,[1]库销表!$HT:$IC)</f>
        <v>0</v>
      </c>
      <c r="BV53" s="49">
        <v>0</v>
      </c>
      <c r="BW53" s="49">
        <v>0</v>
      </c>
      <c r="BX53" s="49">
        <v>0</v>
      </c>
      <c r="BY53" s="49">
        <v>0</v>
      </c>
      <c r="BZ53" s="49">
        <v>0</v>
      </c>
      <c r="CA53" s="49">
        <v>0</v>
      </c>
      <c r="CB53" s="49">
        <v>0</v>
      </c>
      <c r="CC53" s="49">
        <v>0</v>
      </c>
      <c r="CD53" s="49">
        <v>0</v>
      </c>
      <c r="CW53" s="52">
        <f>_xlfn.XLOOKUP(K53,[1]库销表!$F:$F,[1]库销表!$IE:$IE)</f>
        <v>0</v>
      </c>
      <c r="CX53" s="52">
        <f>_xlfn.XLOOKUP(K53,[1]库销表!$F:$F,[1]库销表!$IF:$IF)</f>
        <v>0</v>
      </c>
      <c r="CY53" s="105">
        <f>_xlfn.XLOOKUP(K53,[1]库销表!$F:$F,[1]库销表!$FL:$FL)</f>
        <v>0</v>
      </c>
      <c r="CZ53" s="52" t="e">
        <f>_xlfn.XLOOKUP(K53,数据更新表!E:E,数据更新表!F:F)</f>
        <v>#N/A</v>
      </c>
      <c r="DA53" s="52" t="e">
        <v>#N/A</v>
      </c>
      <c r="DB53" s="52" t="e">
        <f>_xlfn.XLOOKUP(K53,数据更新表!E:E,数据更新表!G:G)</f>
        <v>#N/A</v>
      </c>
      <c r="DC53" s="106">
        <f>_xlfn.XLOOKUP(L53,数据更新表!Z:Z,数据更新表!AH:AH)</f>
        <v>0</v>
      </c>
      <c r="DD53" s="49">
        <f>_xlfn.XLOOKUP(L53,数据更新表!Z:Z,数据更新表!AE:AE)</f>
        <v>0</v>
      </c>
      <c r="DE53" s="49">
        <f>_xlfn.XLOOKUP(L53,数据更新表!Z:Z,数据更新表!AF:AF)</f>
        <v>0</v>
      </c>
      <c r="DF53" s="49" t="e">
        <f>_xlfn.XLOOKUP(K53,数据更新表!Z:Z,数据更新表!AG:AG)</f>
        <v>#N/A</v>
      </c>
      <c r="DG53" s="49">
        <f>_xlfn.XLOOKUP(L53,数据更新表!Z:Z,数据更新表!AD:AD)</f>
        <v>0</v>
      </c>
      <c r="DH53" s="49">
        <f>_xlfn.XLOOKUP(L53,数据更新表!Z:Z,数据更新表!AA:AA)</f>
        <v>0</v>
      </c>
      <c r="DI53" s="49">
        <f>_xlfn.XLOOKUP(L53,数据更新表!Z:Z,数据更新表!AB:AB)</f>
        <v>0</v>
      </c>
      <c r="DJ53" s="49">
        <f>_xlfn.XLOOKUP(L53,数据更新表!Z:Z,数据更新表!AC:AC)</f>
        <v>0</v>
      </c>
      <c r="DK53" s="49">
        <f>_xlfn.XLOOKUP(L53,数据更新表!Z:Z,数据更新表!AI:AI)</f>
        <v>0</v>
      </c>
      <c r="DX53" s="98">
        <f>_xlfn.XLOOKUP(L53,数据更新表!J:J,数据更新表!L:L)</f>
        <v>0</v>
      </c>
      <c r="DY53" s="98">
        <f>_xlfn.XLOOKUP(L53,数据更新表!J:J,数据更新表!M:M)</f>
        <v>0</v>
      </c>
      <c r="DZ53" s="98">
        <v>125</v>
      </c>
      <c r="EA53" s="108">
        <f t="shared" si="21"/>
        <v>-1.06806578557086</v>
      </c>
      <c r="EB53" s="98">
        <f t="shared" si="7"/>
        <v>326.25</v>
      </c>
      <c r="EC53" s="109">
        <f t="shared" si="8"/>
        <v>-392.291728</v>
      </c>
      <c r="ED53" s="108" t="e">
        <f t="shared" si="9"/>
        <v>#DIV/0!</v>
      </c>
      <c r="EE53" s="110">
        <f t="shared" si="10"/>
        <v>41.041728</v>
      </c>
      <c r="EF53" s="98" t="str">
        <f t="shared" si="11"/>
        <v>否</v>
      </c>
      <c r="EG53" s="98">
        <f t="shared" si="12"/>
        <v>0</v>
      </c>
      <c r="EH53" s="98">
        <f t="shared" si="22"/>
        <v>0</v>
      </c>
      <c r="EI53" s="101">
        <f>IF(DX53&lt;=298,IF(DX53&lt;99,25,IF(DX53&lt;=149,30,IF(DX53&lt;=299,37,85))),IF(DX53&lt;=498,_xlfn.XLOOKUP(EQ53,运费表!A:A,运费表!C:C,"重量超限",-1),_xlfn.XLOOKUP(EQ53,运费表!A:A,运费表!D:D,"重量超限",-1)))</f>
        <v>25</v>
      </c>
      <c r="EJ53" s="101">
        <f t="shared" si="14"/>
        <v>0</v>
      </c>
      <c r="EK53" s="108" t="e">
        <v>#DIV/0!</v>
      </c>
      <c r="EL53" s="98">
        <v>3.3</v>
      </c>
      <c r="EM53" s="98">
        <v>26</v>
      </c>
      <c r="EN53" s="98">
        <v>16.8</v>
      </c>
      <c r="EO53" s="98">
        <v>15</v>
      </c>
      <c r="EP53" s="98">
        <f t="shared" si="25"/>
        <v>1.3104</v>
      </c>
      <c r="EQ53" s="98">
        <f t="shared" si="24"/>
        <v>3.3</v>
      </c>
      <c r="ER53" s="98">
        <f t="shared" si="26"/>
        <v>0.006552</v>
      </c>
    </row>
    <row r="54" hidden="1" customHeight="1" spans="2:148">
      <c r="B54" s="118" t="s">
        <v>285</v>
      </c>
      <c r="C54" s="98">
        <v>18</v>
      </c>
      <c r="D54" s="98">
        <v>84</v>
      </c>
      <c r="E54" s="99">
        <v>45944</v>
      </c>
      <c r="G54" s="98" t="s">
        <v>269</v>
      </c>
      <c r="H54" s="116" t="s">
        <v>286</v>
      </c>
      <c r="J54" s="100" t="s">
        <v>287</v>
      </c>
      <c r="K54" s="100" t="s">
        <v>288</v>
      </c>
      <c r="M54" s="106" t="s">
        <v>183</v>
      </c>
      <c r="N54" s="52">
        <f>_xlfn.XLOOKUP(L54,数据更新表!J:J,数据更新表!K:K)</f>
        <v>0</v>
      </c>
      <c r="O54" s="52" t="str">
        <f>IFERROR(_xlfn.XLOOKUP(K54,数据更新表!A:A,数据更新表!B:B),"0")</f>
        <v>0</v>
      </c>
      <c r="P54" s="52">
        <f>_xlfn.XLOOKUP(K54,[1]库销表!$F:$F,[1]库销表!$L:$L)</f>
        <v>0</v>
      </c>
      <c r="Q54" s="103" t="e">
        <f t="shared" si="0"/>
        <v>#N/A</v>
      </c>
      <c r="S54" s="49" t="e">
        <f>_xlfn.XLOOKUP(K54,数据更新表!R:R,数据更新表!S:S)</f>
        <v>#N/A</v>
      </c>
      <c r="T54" s="49" t="e">
        <f>_xlfn.XLOOKUP(K54,数据更新表!V:V,数据更新表!W:W)</f>
        <v>#N/A</v>
      </c>
      <c r="V54" s="104" t="str">
        <f t="shared" si="1"/>
        <v>0</v>
      </c>
      <c r="W54" s="98" t="e">
        <f t="shared" si="2"/>
        <v>#N/A</v>
      </c>
      <c r="X54" s="98">
        <f t="shared" si="3"/>
        <v>0</v>
      </c>
      <c r="AF54" s="49">
        <f t="shared" si="4"/>
        <v>0</v>
      </c>
      <c r="BI54" s="52"/>
      <c r="BR54" s="52"/>
      <c r="BS54" s="52">
        <f>_xlfn.XLOOKUP(K54,[1]库销表!$F:$F,[1]库销表!$L:$L)</f>
        <v>0</v>
      </c>
      <c r="BT54" s="52">
        <f t="shared" si="5"/>
        <v>0</v>
      </c>
      <c r="BU54" s="49" cm="1">
        <f t="array" ref="BU54:CD54">_xlfn.XLOOKUP(K54,[1]库销表!$F:$F,[1]库销表!$HT:$IC)</f>
        <v>0</v>
      </c>
      <c r="BV54" s="49">
        <v>0</v>
      </c>
      <c r="BW54" s="49">
        <v>0</v>
      </c>
      <c r="BX54" s="49">
        <v>0</v>
      </c>
      <c r="BY54" s="49">
        <v>0</v>
      </c>
      <c r="BZ54" s="49">
        <v>0</v>
      </c>
      <c r="CA54" s="49">
        <v>0</v>
      </c>
      <c r="CB54" s="49">
        <v>0</v>
      </c>
      <c r="CC54" s="49">
        <v>0</v>
      </c>
      <c r="CD54" s="49">
        <v>0</v>
      </c>
      <c r="CW54" s="52">
        <f>_xlfn.XLOOKUP(K54,[1]库销表!$F:$F,[1]库销表!$IE:$IE)</f>
        <v>0</v>
      </c>
      <c r="CX54" s="52">
        <f>_xlfn.XLOOKUP(K54,[1]库销表!$F:$F,[1]库销表!$IF:$IF)</f>
        <v>0</v>
      </c>
      <c r="CY54" s="105">
        <f>_xlfn.XLOOKUP(K54,[1]库销表!$F:$F,[1]库销表!$FL:$FL)</f>
        <v>0</v>
      </c>
      <c r="CZ54" s="52" t="e">
        <f>_xlfn.XLOOKUP(K54,数据更新表!E:E,数据更新表!F:F)</f>
        <v>#N/A</v>
      </c>
      <c r="DA54" s="52" t="e">
        <v>#N/A</v>
      </c>
      <c r="DB54" s="52" t="e">
        <f>_xlfn.XLOOKUP(K54,数据更新表!E:E,数据更新表!G:G)</f>
        <v>#N/A</v>
      </c>
      <c r="DC54" s="106">
        <f>_xlfn.XLOOKUP(L54,数据更新表!Z:Z,数据更新表!AH:AH)</f>
        <v>0</v>
      </c>
      <c r="DD54" s="49">
        <f>_xlfn.XLOOKUP(L54,数据更新表!Z:Z,数据更新表!AE:AE)</f>
        <v>0</v>
      </c>
      <c r="DE54" s="49">
        <f>_xlfn.XLOOKUP(L54,数据更新表!Z:Z,数据更新表!AF:AF)</f>
        <v>0</v>
      </c>
      <c r="DF54" s="49" t="e">
        <f>_xlfn.XLOOKUP(K54,数据更新表!Z:Z,数据更新表!AG:AG)</f>
        <v>#N/A</v>
      </c>
      <c r="DG54" s="49">
        <f>_xlfn.XLOOKUP(L54,数据更新表!Z:Z,数据更新表!AD:AD)</f>
        <v>0</v>
      </c>
      <c r="DH54" s="49">
        <f>_xlfn.XLOOKUP(L54,数据更新表!Z:Z,数据更新表!AA:AA)</f>
        <v>0</v>
      </c>
      <c r="DI54" s="49">
        <f>_xlfn.XLOOKUP(L54,数据更新表!Z:Z,数据更新表!AB:AB)</f>
        <v>0</v>
      </c>
      <c r="DJ54" s="49">
        <f>_xlfn.XLOOKUP(L54,数据更新表!Z:Z,数据更新表!AC:AC)</f>
        <v>0</v>
      </c>
      <c r="DK54" s="49">
        <f>_xlfn.XLOOKUP(L54,数据更新表!Z:Z,数据更新表!AI:AI)</f>
        <v>0</v>
      </c>
      <c r="DX54" s="98">
        <f>_xlfn.XLOOKUP(L54,数据更新表!J:J,数据更新表!L:L)</f>
        <v>0</v>
      </c>
      <c r="DY54" s="98">
        <f>_xlfn.XLOOKUP(L54,数据更新表!J:J,数据更新表!M:M)</f>
        <v>0</v>
      </c>
      <c r="DZ54" s="98">
        <v>165</v>
      </c>
      <c r="EA54" s="108">
        <f t="shared" si="21"/>
        <v>-1.05300071745163</v>
      </c>
      <c r="EB54" s="98">
        <f t="shared" si="7"/>
        <v>430.65</v>
      </c>
      <c r="EC54" s="109">
        <f t="shared" si="8"/>
        <v>-496.691728</v>
      </c>
      <c r="ED54" s="108" t="e">
        <f t="shared" si="9"/>
        <v>#DIV/0!</v>
      </c>
      <c r="EE54" s="110">
        <f t="shared" si="10"/>
        <v>41.041728</v>
      </c>
      <c r="EF54" s="98" t="str">
        <f t="shared" si="11"/>
        <v>否</v>
      </c>
      <c r="EG54" s="98">
        <f t="shared" si="12"/>
        <v>0</v>
      </c>
      <c r="EH54" s="98">
        <f t="shared" si="22"/>
        <v>0</v>
      </c>
      <c r="EI54" s="101">
        <f>IF(DX54&lt;=298,IF(DX54&lt;99,25,IF(DX54&lt;=149,30,IF(DX54&lt;=299,37,85))),IF(DX54&lt;=498,_xlfn.XLOOKUP(EQ54,运费表!A:A,运费表!C:C,"重量超限",-1),_xlfn.XLOOKUP(EQ54,运费表!A:A,运费表!D:D,"重量超限",-1)))</f>
        <v>25</v>
      </c>
      <c r="EJ54" s="101">
        <f t="shared" si="14"/>
        <v>0</v>
      </c>
      <c r="EK54" s="108" t="e">
        <v>#DIV/0!</v>
      </c>
      <c r="EL54" s="98">
        <v>3.3</v>
      </c>
      <c r="EM54" s="98">
        <v>26</v>
      </c>
      <c r="EN54" s="98">
        <v>16.8</v>
      </c>
      <c r="EO54" s="98">
        <v>15</v>
      </c>
      <c r="EP54" s="98">
        <f t="shared" si="25"/>
        <v>1.3104</v>
      </c>
      <c r="EQ54" s="98">
        <f t="shared" si="24"/>
        <v>3.3</v>
      </c>
      <c r="ER54" s="98">
        <f t="shared" si="26"/>
        <v>0.006552</v>
      </c>
    </row>
    <row r="55" hidden="1" customHeight="1" spans="2:148">
      <c r="B55" s="118" t="s">
        <v>289</v>
      </c>
      <c r="C55" s="98">
        <v>11</v>
      </c>
      <c r="D55" s="98">
        <v>50</v>
      </c>
      <c r="E55" s="99">
        <v>45944</v>
      </c>
      <c r="G55" s="98" t="s">
        <v>269</v>
      </c>
      <c r="H55" s="116" t="s">
        <v>290</v>
      </c>
      <c r="J55" s="100" t="s">
        <v>291</v>
      </c>
      <c r="K55" s="100" t="s">
        <v>292</v>
      </c>
      <c r="M55" s="106" t="s">
        <v>183</v>
      </c>
      <c r="N55" s="52">
        <f>_xlfn.XLOOKUP(L55,数据更新表!J:J,数据更新表!K:K)</f>
        <v>0</v>
      </c>
      <c r="O55" s="52" t="str">
        <f>IFERROR(_xlfn.XLOOKUP(K55,数据更新表!A:A,数据更新表!B:B),"0")</f>
        <v>0</v>
      </c>
      <c r="P55" s="52">
        <f>_xlfn.XLOOKUP(K55,[1]库销表!$F:$F,[1]库销表!$L:$L)</f>
        <v>0</v>
      </c>
      <c r="Q55" s="103" t="e">
        <f t="shared" si="0"/>
        <v>#N/A</v>
      </c>
      <c r="S55" s="49" t="e">
        <f>_xlfn.XLOOKUP(K55,数据更新表!R:R,数据更新表!S:S)</f>
        <v>#N/A</v>
      </c>
      <c r="T55" s="49" t="e">
        <f>_xlfn.XLOOKUP(K55,数据更新表!V:V,数据更新表!W:W)</f>
        <v>#N/A</v>
      </c>
      <c r="V55" s="104" t="str">
        <f t="shared" si="1"/>
        <v>0</v>
      </c>
      <c r="W55" s="98" t="e">
        <f t="shared" si="2"/>
        <v>#N/A</v>
      </c>
      <c r="X55" s="98">
        <f t="shared" si="3"/>
        <v>0</v>
      </c>
      <c r="AF55" s="49">
        <f t="shared" si="4"/>
        <v>0</v>
      </c>
      <c r="BI55" s="52"/>
      <c r="BR55" s="52"/>
      <c r="BS55" s="52">
        <f>_xlfn.XLOOKUP(K55,[1]库销表!$F:$F,[1]库销表!$L:$L)</f>
        <v>0</v>
      </c>
      <c r="BT55" s="52">
        <f t="shared" si="5"/>
        <v>0</v>
      </c>
      <c r="BU55" s="49" cm="1">
        <f t="array" ref="BU55:CD55">_xlfn.XLOOKUP(K55,[1]库销表!$F:$F,[1]库销表!$HT:$IC)</f>
        <v>0</v>
      </c>
      <c r="BV55" s="49">
        <v>0</v>
      </c>
      <c r="BW55" s="49">
        <v>0</v>
      </c>
      <c r="BX55" s="49">
        <v>0</v>
      </c>
      <c r="BY55" s="49">
        <v>0</v>
      </c>
      <c r="BZ55" s="49">
        <v>0</v>
      </c>
      <c r="CA55" s="49">
        <v>0</v>
      </c>
      <c r="CB55" s="49">
        <v>0</v>
      </c>
      <c r="CC55" s="49">
        <v>0</v>
      </c>
      <c r="CD55" s="49">
        <v>0</v>
      </c>
      <c r="CW55" s="52">
        <f>_xlfn.XLOOKUP(K55,[1]库销表!$F:$F,[1]库销表!$IE:$IE)</f>
        <v>0</v>
      </c>
      <c r="CX55" s="52">
        <f>_xlfn.XLOOKUP(K55,[1]库销表!$F:$F,[1]库销表!$IF:$IF)</f>
        <v>0</v>
      </c>
      <c r="CY55" s="105">
        <f>_xlfn.XLOOKUP(K55,[1]库销表!$F:$F,[1]库销表!$FL:$FL)</f>
        <v>0</v>
      </c>
      <c r="CZ55" s="52" t="e">
        <f>_xlfn.XLOOKUP(K55,数据更新表!E:E,数据更新表!F:F)</f>
        <v>#N/A</v>
      </c>
      <c r="DA55" s="52" t="e">
        <v>#N/A</v>
      </c>
      <c r="DB55" s="52" t="e">
        <f>_xlfn.XLOOKUP(K55,数据更新表!E:E,数据更新表!G:G)</f>
        <v>#N/A</v>
      </c>
      <c r="DC55" s="106">
        <f>_xlfn.XLOOKUP(L55,数据更新表!Z:Z,数据更新表!AH:AH)</f>
        <v>0</v>
      </c>
      <c r="DD55" s="49">
        <f>_xlfn.XLOOKUP(L55,数据更新表!Z:Z,数据更新表!AE:AE)</f>
        <v>0</v>
      </c>
      <c r="DE55" s="49">
        <f>_xlfn.XLOOKUP(L55,数据更新表!Z:Z,数据更新表!AF:AF)</f>
        <v>0</v>
      </c>
      <c r="DF55" s="49" t="e">
        <f>_xlfn.XLOOKUP(K55,数据更新表!Z:Z,数据更新表!AG:AG)</f>
        <v>#N/A</v>
      </c>
      <c r="DG55" s="49">
        <f>_xlfn.XLOOKUP(L55,数据更新表!Z:Z,数据更新表!AD:AD)</f>
        <v>0</v>
      </c>
      <c r="DH55" s="49">
        <f>_xlfn.XLOOKUP(L55,数据更新表!Z:Z,数据更新表!AA:AA)</f>
        <v>0</v>
      </c>
      <c r="DI55" s="49">
        <f>_xlfn.XLOOKUP(L55,数据更新表!Z:Z,数据更新表!AB:AB)</f>
        <v>0</v>
      </c>
      <c r="DJ55" s="49">
        <f>_xlfn.XLOOKUP(L55,数据更新表!Z:Z,数据更新表!AC:AC)</f>
        <v>0</v>
      </c>
      <c r="DK55" s="49">
        <f>_xlfn.XLOOKUP(L55,数据更新表!Z:Z,数据更新表!AI:AI)</f>
        <v>0</v>
      </c>
      <c r="DX55" s="98">
        <f>_xlfn.XLOOKUP(L55,数据更新表!J:J,数据更新表!L:L)</f>
        <v>0</v>
      </c>
      <c r="DY55" s="98">
        <f>_xlfn.XLOOKUP(L55,数据更新表!J:J,数据更新表!M:M)</f>
        <v>0</v>
      </c>
      <c r="DZ55" s="98">
        <v>140</v>
      </c>
      <c r="EA55" s="108">
        <f t="shared" si="21"/>
        <v>-1.06150943241733</v>
      </c>
      <c r="EB55" s="98">
        <f t="shared" si="7"/>
        <v>365.4</v>
      </c>
      <c r="EC55" s="109">
        <f t="shared" si="8"/>
        <v>-431.441728</v>
      </c>
      <c r="ED55" s="108" t="e">
        <f t="shared" si="9"/>
        <v>#DIV/0!</v>
      </c>
      <c r="EE55" s="110">
        <f t="shared" si="10"/>
        <v>41.041728</v>
      </c>
      <c r="EF55" s="98" t="str">
        <f t="shared" si="11"/>
        <v>否</v>
      </c>
      <c r="EG55" s="98">
        <f t="shared" si="12"/>
        <v>0</v>
      </c>
      <c r="EH55" s="98">
        <f t="shared" si="22"/>
        <v>0</v>
      </c>
      <c r="EI55" s="101">
        <f>IF(DX55&lt;=298,IF(DX55&lt;99,25,IF(DX55&lt;=149,30,IF(DX55&lt;=299,37,85))),IF(DX55&lt;=498,_xlfn.XLOOKUP(EQ55,运费表!A:A,运费表!C:C,"重量超限",-1),_xlfn.XLOOKUP(EQ55,运费表!A:A,运费表!D:D,"重量超限",-1)))</f>
        <v>25</v>
      </c>
      <c r="EJ55" s="101">
        <f t="shared" si="14"/>
        <v>0</v>
      </c>
      <c r="EK55" s="108" t="e">
        <v>#DIV/0!</v>
      </c>
      <c r="EL55" s="98">
        <v>3.3</v>
      </c>
      <c r="EM55" s="98">
        <v>26</v>
      </c>
      <c r="EN55" s="98">
        <v>16.8</v>
      </c>
      <c r="EO55" s="98">
        <v>15</v>
      </c>
      <c r="EP55" s="98">
        <f t="shared" si="25"/>
        <v>1.3104</v>
      </c>
      <c r="EQ55" s="98">
        <f t="shared" si="24"/>
        <v>3.3</v>
      </c>
      <c r="ER55" s="98">
        <f t="shared" si="26"/>
        <v>0.006552</v>
      </c>
    </row>
    <row r="56" hidden="1" customHeight="1" spans="2:148">
      <c r="B56" s="118" t="s">
        <v>677</v>
      </c>
      <c r="C56" s="98">
        <v>22</v>
      </c>
      <c r="D56" s="98">
        <v>76</v>
      </c>
      <c r="E56" s="99">
        <v>45953</v>
      </c>
      <c r="G56" s="98" t="s">
        <v>294</v>
      </c>
      <c r="H56" s="116" t="s">
        <v>295</v>
      </c>
      <c r="J56" s="100" t="s">
        <v>678</v>
      </c>
      <c r="K56" s="100" t="s">
        <v>297</v>
      </c>
      <c r="M56" s="106" t="s">
        <v>183</v>
      </c>
      <c r="N56" s="52">
        <f>_xlfn.XLOOKUP(L56,数据更新表!J:J,数据更新表!K:K)</f>
        <v>0</v>
      </c>
      <c r="O56" s="52">
        <f>IFERROR(_xlfn.XLOOKUP(K56,数据更新表!A:A,数据更新表!B:B),"0")</f>
        <v>20</v>
      </c>
      <c r="P56" s="52">
        <f>_xlfn.XLOOKUP(K56,[1]库销表!$F:$F,[1]库销表!$L:$L)</f>
        <v>0</v>
      </c>
      <c r="Q56" s="103">
        <f t="shared" si="0"/>
        <v>35</v>
      </c>
      <c r="S56" s="49" t="e">
        <f>_xlfn.XLOOKUP(K56,数据更新表!R:R,数据更新表!S:S)</f>
        <v>#N/A</v>
      </c>
      <c r="T56" s="49" t="e">
        <f>_xlfn.XLOOKUP(K56,数据更新表!V:V,数据更新表!W:W)</f>
        <v>#N/A</v>
      </c>
      <c r="V56" s="104">
        <f t="shared" si="1"/>
        <v>35</v>
      </c>
      <c r="W56" s="98">
        <f t="shared" si="2"/>
        <v>0.571428571428571</v>
      </c>
      <c r="X56" s="98">
        <f t="shared" si="3"/>
        <v>20</v>
      </c>
      <c r="AF56" s="49">
        <f t="shared" si="4"/>
        <v>0</v>
      </c>
      <c r="BI56" s="52"/>
      <c r="BR56" s="52"/>
      <c r="BS56" s="52">
        <f>_xlfn.XLOOKUP(K56,[1]库销表!$F:$F,[1]库销表!$L:$L)</f>
        <v>0</v>
      </c>
      <c r="BT56" s="52">
        <f t="shared" si="5"/>
        <v>0</v>
      </c>
      <c r="BU56" s="49" cm="1">
        <f t="array" ref="BU56:CD56">_xlfn.XLOOKUP(K56,[1]库销表!$F:$F,[1]库销表!$HT:$IC)</f>
        <v>0</v>
      </c>
      <c r="BV56" s="49">
        <v>0</v>
      </c>
      <c r="BW56" s="49">
        <v>0</v>
      </c>
      <c r="BX56" s="49">
        <v>0</v>
      </c>
      <c r="BY56" s="49">
        <v>0</v>
      </c>
      <c r="BZ56" s="49">
        <v>0</v>
      </c>
      <c r="CA56" s="49">
        <v>0</v>
      </c>
      <c r="CB56" s="49">
        <v>0</v>
      </c>
      <c r="CC56" s="49">
        <v>0</v>
      </c>
      <c r="CD56" s="49">
        <v>0</v>
      </c>
      <c r="CW56" s="52">
        <f>_xlfn.XLOOKUP(K56,[1]库销表!$F:$F,[1]库销表!$IE:$IE)</f>
        <v>0</v>
      </c>
      <c r="CX56" s="52">
        <f>_xlfn.XLOOKUP(K56,[1]库销表!$F:$F,[1]库销表!$IF:$IF)</f>
        <v>0</v>
      </c>
      <c r="CY56" s="105">
        <f>_xlfn.XLOOKUP(K56,[1]库销表!$F:$F,[1]库销表!$FL:$FL)</f>
        <v>0</v>
      </c>
      <c r="CZ56" s="52">
        <f>_xlfn.XLOOKUP(K56,数据更新表!E:E,数据更新表!F:F)</f>
        <v>4</v>
      </c>
      <c r="DA56" s="52" t="e">
        <v>#N/A</v>
      </c>
      <c r="DB56" s="52">
        <f>_xlfn.XLOOKUP(K56,数据更新表!E:E,数据更新表!G:G)</f>
        <v>0</v>
      </c>
      <c r="DC56" s="106">
        <f>_xlfn.XLOOKUP(L56,数据更新表!Z:Z,数据更新表!AH:AH)</f>
        <v>0</v>
      </c>
      <c r="DD56" s="49">
        <f>_xlfn.XLOOKUP(L56,数据更新表!Z:Z,数据更新表!AE:AE)</f>
        <v>0</v>
      </c>
      <c r="DE56" s="49">
        <f>_xlfn.XLOOKUP(L56,数据更新表!Z:Z,数据更新表!AF:AF)</f>
        <v>0</v>
      </c>
      <c r="DF56" s="49" t="e">
        <f>_xlfn.XLOOKUP(K56,数据更新表!Z:Z,数据更新表!AG:AG)</f>
        <v>#N/A</v>
      </c>
      <c r="DG56" s="49">
        <f>_xlfn.XLOOKUP(L56,数据更新表!Z:Z,数据更新表!AD:AD)</f>
        <v>0</v>
      </c>
      <c r="DH56" s="49">
        <f>_xlfn.XLOOKUP(L56,数据更新表!Z:Z,数据更新表!AA:AA)</f>
        <v>0</v>
      </c>
      <c r="DI56" s="49">
        <f>_xlfn.XLOOKUP(L56,数据更新表!Z:Z,数据更新表!AB:AB)</f>
        <v>0</v>
      </c>
      <c r="DJ56" s="49">
        <f>_xlfn.XLOOKUP(L56,数据更新表!Z:Z,数据更新表!AC:AC)</f>
        <v>0</v>
      </c>
      <c r="DK56" s="49">
        <f>_xlfn.XLOOKUP(L56,数据更新表!Z:Z,数据更新表!AI:AI)</f>
        <v>0</v>
      </c>
      <c r="DX56" s="98">
        <f>_xlfn.XLOOKUP(L56,数据更新表!J:J,数据更新表!L:L)</f>
        <v>0</v>
      </c>
      <c r="DY56" s="98">
        <f>_xlfn.XLOOKUP(L56,数据更新表!J:J,数据更新表!M:M)</f>
        <v>0</v>
      </c>
      <c r="DZ56" s="98">
        <v>155</v>
      </c>
      <c r="EA56" s="108">
        <f t="shared" si="21"/>
        <v>-1.058979838891</v>
      </c>
      <c r="EB56" s="98">
        <f t="shared" si="7"/>
        <v>404.55</v>
      </c>
      <c r="EC56" s="109">
        <f t="shared" si="8"/>
        <v>-448.873657</v>
      </c>
      <c r="ED56" s="108" t="e">
        <f t="shared" si="9"/>
        <v>#DIV/0!</v>
      </c>
      <c r="EE56" s="110">
        <f t="shared" si="10"/>
        <v>19.323657</v>
      </c>
      <c r="EF56" s="98" t="str">
        <f t="shared" si="11"/>
        <v>否</v>
      </c>
      <c r="EG56" s="98">
        <f t="shared" si="12"/>
        <v>0</v>
      </c>
      <c r="EH56" s="98">
        <f t="shared" si="22"/>
        <v>0</v>
      </c>
      <c r="EI56" s="101">
        <f>IF(DX56&lt;=298,IF(DX56&lt;99,25,IF(DX56&lt;=149,30,IF(DX56&lt;=299,37,85))),IF(DX56&lt;=498,_xlfn.XLOOKUP(EQ56,运费表!A:A,运费表!C:C,"重量超限",-1),_xlfn.XLOOKUP(EQ56,运费表!A:A,运费表!D:D,"重量超限",-1)))</f>
        <v>25</v>
      </c>
      <c r="EJ56" s="101">
        <f t="shared" si="14"/>
        <v>0</v>
      </c>
      <c r="EK56" s="108" t="e">
        <v>#DIV/0!</v>
      </c>
      <c r="EL56" s="98">
        <v>0.6</v>
      </c>
      <c r="EM56" s="98">
        <v>18.5</v>
      </c>
      <c r="EN56" s="98">
        <v>14.5</v>
      </c>
      <c r="EO56" s="98">
        <v>11.5</v>
      </c>
      <c r="EP56" s="98">
        <f t="shared" si="25"/>
        <v>0.616975</v>
      </c>
      <c r="EQ56" s="98">
        <f t="shared" si="24"/>
        <v>0.616975</v>
      </c>
      <c r="ER56" s="98">
        <f t="shared" si="26"/>
        <v>0.003084875</v>
      </c>
    </row>
    <row r="57" hidden="1" customHeight="1" spans="2:148">
      <c r="B57" s="118" t="s">
        <v>300</v>
      </c>
      <c r="C57" s="98">
        <v>10</v>
      </c>
      <c r="D57" s="98">
        <v>48</v>
      </c>
      <c r="E57" s="99">
        <v>45953</v>
      </c>
      <c r="G57" s="98" t="s">
        <v>294</v>
      </c>
      <c r="H57" s="116" t="s">
        <v>301</v>
      </c>
      <c r="J57" s="100" t="s">
        <v>302</v>
      </c>
      <c r="K57" s="100" t="s">
        <v>303</v>
      </c>
      <c r="M57" s="106" t="s">
        <v>183</v>
      </c>
      <c r="N57" s="52">
        <f>_xlfn.XLOOKUP(L57,数据更新表!J:J,数据更新表!K:K)</f>
        <v>0</v>
      </c>
      <c r="O57" s="52">
        <f>IFERROR(_xlfn.XLOOKUP(K57,数据更新表!A:A,数据更新表!B:B),"0")</f>
        <v>13</v>
      </c>
      <c r="P57" s="52">
        <f>_xlfn.XLOOKUP(K57,[1]库销表!$F:$F,[1]库销表!$L:$L)</f>
        <v>0</v>
      </c>
      <c r="Q57" s="103">
        <f t="shared" si="0"/>
        <v>22.75</v>
      </c>
      <c r="S57" s="49" t="e">
        <f>_xlfn.XLOOKUP(K57,数据更新表!R:R,数据更新表!S:S)</f>
        <v>#N/A</v>
      </c>
      <c r="T57" s="49" t="e">
        <f>_xlfn.XLOOKUP(K57,数据更新表!V:V,数据更新表!W:W)</f>
        <v>#N/A</v>
      </c>
      <c r="V57" s="104">
        <f t="shared" si="1"/>
        <v>22.75</v>
      </c>
      <c r="W57" s="98">
        <f t="shared" si="2"/>
        <v>0.571428571428571</v>
      </c>
      <c r="X57" s="98">
        <f t="shared" si="3"/>
        <v>13</v>
      </c>
      <c r="AF57" s="49">
        <f t="shared" si="4"/>
        <v>0</v>
      </c>
      <c r="BI57" s="52"/>
      <c r="BR57" s="52"/>
      <c r="BS57" s="52">
        <f>_xlfn.XLOOKUP(K57,[1]库销表!$F:$F,[1]库销表!$L:$L)</f>
        <v>0</v>
      </c>
      <c r="BT57" s="52">
        <f t="shared" si="5"/>
        <v>0</v>
      </c>
      <c r="BU57" s="49" cm="1">
        <f t="array" ref="BU57:CD57">_xlfn.XLOOKUP(K57,[1]库销表!$F:$F,[1]库销表!$HT:$IC)</f>
        <v>0</v>
      </c>
      <c r="BV57" s="49">
        <v>0</v>
      </c>
      <c r="BW57" s="49">
        <v>0</v>
      </c>
      <c r="BX57" s="49">
        <v>0</v>
      </c>
      <c r="BY57" s="49">
        <v>0</v>
      </c>
      <c r="BZ57" s="49">
        <v>0</v>
      </c>
      <c r="CA57" s="49">
        <v>0</v>
      </c>
      <c r="CB57" s="49">
        <v>0</v>
      </c>
      <c r="CC57" s="49">
        <v>0</v>
      </c>
      <c r="CD57" s="49">
        <v>0</v>
      </c>
      <c r="CW57" s="52">
        <f>_xlfn.XLOOKUP(K57,[1]库销表!$F:$F,[1]库销表!$IE:$IE)</f>
        <v>0</v>
      </c>
      <c r="CX57" s="52">
        <f>_xlfn.XLOOKUP(K57,[1]库销表!$F:$F,[1]库销表!$IF:$IF)</f>
        <v>0</v>
      </c>
      <c r="CY57" s="105">
        <f>_xlfn.XLOOKUP(K57,[1]库销表!$F:$F,[1]库销表!$FL:$FL)</f>
        <v>0</v>
      </c>
      <c r="CZ57" s="52">
        <f>_xlfn.XLOOKUP(K57,数据更新表!E:E,数据更新表!F:F)</f>
        <v>4</v>
      </c>
      <c r="DA57" s="52" t="e">
        <v>#N/A</v>
      </c>
      <c r="DB57" s="52">
        <f>_xlfn.XLOOKUP(K57,数据更新表!E:E,数据更新表!G:G)</f>
        <v>0</v>
      </c>
      <c r="DC57" s="106">
        <f>_xlfn.XLOOKUP(L57,数据更新表!Z:Z,数据更新表!AH:AH)</f>
        <v>0</v>
      </c>
      <c r="DD57" s="49">
        <f>_xlfn.XLOOKUP(L57,数据更新表!Z:Z,数据更新表!AE:AE)</f>
        <v>0</v>
      </c>
      <c r="DE57" s="49">
        <f>_xlfn.XLOOKUP(L57,数据更新表!Z:Z,数据更新表!AF:AF)</f>
        <v>0</v>
      </c>
      <c r="DF57" s="49" t="e">
        <f>_xlfn.XLOOKUP(K57,数据更新表!Z:Z,数据更新表!AG:AG)</f>
        <v>#N/A</v>
      </c>
      <c r="DG57" s="49">
        <f>_xlfn.XLOOKUP(L57,数据更新表!Z:Z,数据更新表!AD:AD)</f>
        <v>0</v>
      </c>
      <c r="DH57" s="49">
        <f>_xlfn.XLOOKUP(L57,数据更新表!Z:Z,数据更新表!AA:AA)</f>
        <v>0</v>
      </c>
      <c r="DI57" s="49">
        <f>_xlfn.XLOOKUP(L57,数据更新表!Z:Z,数据更新表!AB:AB)</f>
        <v>0</v>
      </c>
      <c r="DJ57" s="49">
        <f>_xlfn.XLOOKUP(L57,数据更新表!Z:Z,数据更新表!AC:AC)</f>
        <v>0</v>
      </c>
      <c r="DK57" s="49">
        <f>_xlfn.XLOOKUP(L57,数据更新表!Z:Z,数据更新表!AI:AI)</f>
        <v>0</v>
      </c>
      <c r="DX57" s="98">
        <f>_xlfn.XLOOKUP(L57,数据更新表!J:J,数据更新表!L:L)</f>
        <v>0</v>
      </c>
      <c r="DY57" s="98">
        <f>_xlfn.XLOOKUP(L57,数据更新表!J:J,数据更新表!M:M)</f>
        <v>0</v>
      </c>
      <c r="DZ57" s="98">
        <v>128</v>
      </c>
      <c r="EA57" s="108">
        <f t="shared" si="21"/>
        <v>-1.07129870472471</v>
      </c>
      <c r="EB57" s="98">
        <f t="shared" si="7"/>
        <v>334.08</v>
      </c>
      <c r="EC57" s="109">
        <f t="shared" si="8"/>
        <v>-375.63750592</v>
      </c>
      <c r="ED57" s="108" t="e">
        <f t="shared" si="9"/>
        <v>#DIV/0!</v>
      </c>
      <c r="EE57" s="110">
        <f t="shared" si="10"/>
        <v>16.55750592</v>
      </c>
      <c r="EF57" s="98" t="str">
        <f t="shared" si="11"/>
        <v>否</v>
      </c>
      <c r="EG57" s="98">
        <f t="shared" si="12"/>
        <v>0</v>
      </c>
      <c r="EH57" s="98">
        <f t="shared" si="22"/>
        <v>0</v>
      </c>
      <c r="EI57" s="101">
        <f>IF(DX57&lt;=298,IF(DX57&lt;99,25,IF(DX57&lt;=149,30,IF(DX57&lt;=299,37,85))),IF(DX57&lt;=498,_xlfn.XLOOKUP(EQ57,运费表!A:A,运费表!C:C,"重量超限",-1),_xlfn.XLOOKUP(EQ57,运费表!A:A,运费表!D:D,"重量超限",-1)))</f>
        <v>25</v>
      </c>
      <c r="EJ57" s="101">
        <f t="shared" si="14"/>
        <v>0</v>
      </c>
      <c r="EK57" s="108" t="e">
        <v>#DIV/0!</v>
      </c>
      <c r="EL57" s="98">
        <v>1.22</v>
      </c>
      <c r="EM57" s="98">
        <v>18.8</v>
      </c>
      <c r="EN57" s="98">
        <v>14.8</v>
      </c>
      <c r="EO57" s="98">
        <v>9.5</v>
      </c>
      <c r="EP57" s="98">
        <f t="shared" si="25"/>
        <v>0.528656</v>
      </c>
      <c r="EQ57" s="98">
        <f t="shared" si="24"/>
        <v>1.22</v>
      </c>
      <c r="ER57" s="98">
        <f t="shared" si="26"/>
        <v>0.00264328</v>
      </c>
    </row>
    <row r="58" hidden="1" customHeight="1" spans="2:148">
      <c r="B58" s="118" t="s">
        <v>306</v>
      </c>
      <c r="C58" s="98">
        <v>0</v>
      </c>
      <c r="D58" s="98">
        <v>16</v>
      </c>
      <c r="E58" s="99">
        <v>45953</v>
      </c>
      <c r="G58" s="98" t="s">
        <v>294</v>
      </c>
      <c r="H58" s="116" t="s">
        <v>307</v>
      </c>
      <c r="J58" s="100" t="s">
        <v>308</v>
      </c>
      <c r="K58" s="100" t="s">
        <v>309</v>
      </c>
      <c r="M58" s="106" t="s">
        <v>183</v>
      </c>
      <c r="N58" s="52">
        <f>_xlfn.XLOOKUP(L58,数据更新表!J:J,数据更新表!K:K)</f>
        <v>0</v>
      </c>
      <c r="O58" s="52">
        <f>IFERROR(_xlfn.XLOOKUP(K58,数据更新表!A:A,数据更新表!B:B),"0")</f>
        <v>8</v>
      </c>
      <c r="P58" s="52">
        <f>_xlfn.XLOOKUP(K58,[1]库销表!$F:$F,[1]库销表!$L:$L)</f>
        <v>0</v>
      </c>
      <c r="Q58" s="103">
        <f t="shared" si="0"/>
        <v>7.00000000000002</v>
      </c>
      <c r="S58" s="49" t="e">
        <f>_xlfn.XLOOKUP(K58,数据更新表!R:R,数据更新表!S:S)</f>
        <v>#N/A</v>
      </c>
      <c r="T58" s="49" t="e">
        <f>_xlfn.XLOOKUP(K58,数据更新表!V:V,数据更新表!W:W)</f>
        <v>#N/A</v>
      </c>
      <c r="V58" s="104">
        <f t="shared" si="1"/>
        <v>7</v>
      </c>
      <c r="W58" s="98">
        <f t="shared" si="2"/>
        <v>1.14285714285714</v>
      </c>
      <c r="X58" s="98">
        <f t="shared" si="3"/>
        <v>8</v>
      </c>
      <c r="AF58" s="49">
        <f t="shared" si="4"/>
        <v>0</v>
      </c>
      <c r="BH58" s="52"/>
      <c r="BI58" s="52"/>
      <c r="BR58" s="52"/>
      <c r="BS58" s="52">
        <f>_xlfn.XLOOKUP(K58,[1]库销表!$F:$F,[1]库销表!$L:$L)</f>
        <v>0</v>
      </c>
      <c r="BT58" s="52">
        <f t="shared" si="5"/>
        <v>0</v>
      </c>
      <c r="BU58" s="49" cm="1">
        <f t="array" ref="BU58:CD58">_xlfn.XLOOKUP(K58,[1]库销表!$F:$F,[1]库销表!$HT:$IC)</f>
        <v>0</v>
      </c>
      <c r="BV58" s="49">
        <v>0</v>
      </c>
      <c r="BW58" s="49">
        <v>0</v>
      </c>
      <c r="BX58" s="49">
        <v>0</v>
      </c>
      <c r="BY58" s="49">
        <v>0</v>
      </c>
      <c r="BZ58" s="49">
        <v>0</v>
      </c>
      <c r="CA58" s="49">
        <v>0</v>
      </c>
      <c r="CB58" s="49">
        <v>0</v>
      </c>
      <c r="CC58" s="49">
        <v>0</v>
      </c>
      <c r="CD58" s="49">
        <v>0</v>
      </c>
      <c r="CW58" s="52">
        <f>_xlfn.XLOOKUP(K58,[1]库销表!$F:$F,[1]库销表!$IE:$IE)</f>
        <v>0</v>
      </c>
      <c r="CX58" s="52">
        <f>_xlfn.XLOOKUP(K58,[1]库销表!$F:$F,[1]库销表!$IF:$IF)</f>
        <v>0</v>
      </c>
      <c r="CY58" s="105">
        <f>_xlfn.XLOOKUP(K58,[1]库销表!$F:$F,[1]库销表!$FL:$FL)</f>
        <v>0</v>
      </c>
      <c r="CZ58" s="52">
        <f>_xlfn.XLOOKUP(K58,数据更新表!E:E,数据更新表!F:F)</f>
        <v>8</v>
      </c>
      <c r="DA58" s="52" t="e">
        <v>#N/A</v>
      </c>
      <c r="DB58" s="52">
        <f>_xlfn.XLOOKUP(K58,数据更新表!E:E,数据更新表!G:G)</f>
        <v>1</v>
      </c>
      <c r="DC58" s="106">
        <f>_xlfn.XLOOKUP(L58,数据更新表!Z:Z,数据更新表!AH:AH)</f>
        <v>0</v>
      </c>
      <c r="DD58" s="49">
        <f>_xlfn.XLOOKUP(L58,数据更新表!Z:Z,数据更新表!AE:AE)</f>
        <v>0</v>
      </c>
      <c r="DE58" s="49">
        <f>_xlfn.XLOOKUP(L58,数据更新表!Z:Z,数据更新表!AF:AF)</f>
        <v>0</v>
      </c>
      <c r="DF58" s="49" t="e">
        <f>_xlfn.XLOOKUP(K58,数据更新表!Z:Z,数据更新表!AG:AG)</f>
        <v>#N/A</v>
      </c>
      <c r="DG58" s="49">
        <f>_xlfn.XLOOKUP(L58,数据更新表!Z:Z,数据更新表!AD:AD)</f>
        <v>0</v>
      </c>
      <c r="DH58" s="49">
        <f>_xlfn.XLOOKUP(L58,数据更新表!Z:Z,数据更新表!AA:AA)</f>
        <v>0</v>
      </c>
      <c r="DI58" s="49">
        <f>_xlfn.XLOOKUP(L58,数据更新表!Z:Z,数据更新表!AB:AB)</f>
        <v>0</v>
      </c>
      <c r="DJ58" s="49">
        <f>_xlfn.XLOOKUP(L58,数据更新表!Z:Z,数据更新表!AC:AC)</f>
        <v>0</v>
      </c>
      <c r="DK58" s="49">
        <f>_xlfn.XLOOKUP(L58,数据更新表!Z:Z,数据更新表!AI:AI)</f>
        <v>0</v>
      </c>
      <c r="DX58" s="98">
        <f>_xlfn.XLOOKUP(L58,数据更新表!J:J,数据更新表!L:L)</f>
        <v>0</v>
      </c>
      <c r="DY58" s="98">
        <f>_xlfn.XLOOKUP(L58,数据更新表!J:J,数据更新表!M:M)</f>
        <v>0</v>
      </c>
      <c r="DZ58" s="98">
        <v>130</v>
      </c>
      <c r="EA58" s="108">
        <f t="shared" si="21"/>
        <v>-1.07025283880234</v>
      </c>
      <c r="EB58" s="98">
        <f t="shared" si="7"/>
        <v>339.3</v>
      </c>
      <c r="EC58" s="109">
        <f t="shared" si="8"/>
        <v>-380.85750592</v>
      </c>
      <c r="ED58" s="108" t="e">
        <f t="shared" si="9"/>
        <v>#DIV/0!</v>
      </c>
      <c r="EE58" s="110">
        <f t="shared" si="10"/>
        <v>16.55750592</v>
      </c>
      <c r="EF58" s="98" t="str">
        <f t="shared" si="11"/>
        <v>否</v>
      </c>
      <c r="EG58" s="98">
        <f t="shared" si="12"/>
        <v>0</v>
      </c>
      <c r="EH58" s="98">
        <f t="shared" si="22"/>
        <v>0</v>
      </c>
      <c r="EI58" s="101">
        <f>IF(DX58&lt;=298,IF(DX58&lt;99,25,IF(DX58&lt;=149,30,IF(DX58&lt;=299,37,85))),IF(DX58&lt;=498,_xlfn.XLOOKUP(EQ58,运费表!A:A,运费表!C:C,"重量超限",-1),_xlfn.XLOOKUP(EQ58,运费表!A:A,运费表!D:D,"重量超限",-1)))</f>
        <v>25</v>
      </c>
      <c r="EJ58" s="101">
        <f t="shared" si="14"/>
        <v>0</v>
      </c>
      <c r="EK58" s="108" t="e">
        <v>#DIV/0!</v>
      </c>
      <c r="EL58" s="98">
        <v>1.18</v>
      </c>
      <c r="EM58" s="98">
        <v>18.8</v>
      </c>
      <c r="EN58" s="98">
        <v>14.8</v>
      </c>
      <c r="EO58" s="98">
        <v>9.5</v>
      </c>
      <c r="EP58" s="98">
        <f t="shared" si="25"/>
        <v>0.528656</v>
      </c>
      <c r="EQ58" s="98">
        <f t="shared" si="24"/>
        <v>1.18</v>
      </c>
      <c r="ER58" s="98">
        <f t="shared" si="26"/>
        <v>0.00264328</v>
      </c>
    </row>
    <row r="59" hidden="1" customHeight="1" spans="2:148">
      <c r="B59" s="118" t="s">
        <v>312</v>
      </c>
      <c r="C59" s="98">
        <v>12</v>
      </c>
      <c r="D59" s="98">
        <v>69</v>
      </c>
      <c r="E59" s="99">
        <v>45953</v>
      </c>
      <c r="G59" s="98" t="s">
        <v>294</v>
      </c>
      <c r="H59" s="116" t="s">
        <v>313</v>
      </c>
      <c r="J59" s="100" t="s">
        <v>314</v>
      </c>
      <c r="K59" s="100" t="s">
        <v>315</v>
      </c>
      <c r="M59" s="106" t="s">
        <v>183</v>
      </c>
      <c r="N59" s="52">
        <f>_xlfn.XLOOKUP(L59,数据更新表!J:J,数据更新表!K:K)</f>
        <v>0</v>
      </c>
      <c r="O59" s="52">
        <f>IFERROR(_xlfn.XLOOKUP(K59,数据更新表!A:A,数据更新表!B:B),"0")</f>
        <v>12</v>
      </c>
      <c r="P59" s="52">
        <f>_xlfn.XLOOKUP(K59,[1]库销表!$F:$F,[1]库销表!$L:$L)</f>
        <v>0</v>
      </c>
      <c r="Q59" s="103">
        <f t="shared" si="0"/>
        <v>14</v>
      </c>
      <c r="S59" s="49" t="e">
        <f>_xlfn.XLOOKUP(K59,数据更新表!R:R,数据更新表!S:S)</f>
        <v>#N/A</v>
      </c>
      <c r="T59" s="49" t="e">
        <f>_xlfn.XLOOKUP(K59,数据更新表!V:V,数据更新表!W:W)</f>
        <v>#N/A</v>
      </c>
      <c r="V59" s="104">
        <f t="shared" si="1"/>
        <v>14</v>
      </c>
      <c r="W59" s="98">
        <f t="shared" si="2"/>
        <v>0.857142857142857</v>
      </c>
      <c r="X59" s="98">
        <f t="shared" si="3"/>
        <v>12</v>
      </c>
      <c r="AF59" s="49">
        <f t="shared" si="4"/>
        <v>0</v>
      </c>
      <c r="BI59" s="52"/>
      <c r="BR59" s="52"/>
      <c r="BS59" s="52">
        <f>_xlfn.XLOOKUP(K59,[1]库销表!$F:$F,[1]库销表!$L:$L)</f>
        <v>0</v>
      </c>
      <c r="BT59" s="52">
        <f t="shared" si="5"/>
        <v>0</v>
      </c>
      <c r="BU59" s="49" cm="1">
        <f t="array" ref="BU59:CD59">_xlfn.XLOOKUP(K59,[1]库销表!$F:$F,[1]库销表!$HT:$IC)</f>
        <v>0</v>
      </c>
      <c r="BV59" s="49">
        <v>0</v>
      </c>
      <c r="BW59" s="49">
        <v>0</v>
      </c>
      <c r="BX59" s="49">
        <v>0</v>
      </c>
      <c r="BY59" s="49">
        <v>0</v>
      </c>
      <c r="BZ59" s="49">
        <v>0</v>
      </c>
      <c r="CA59" s="49">
        <v>0</v>
      </c>
      <c r="CB59" s="49">
        <v>0</v>
      </c>
      <c r="CC59" s="49">
        <v>0</v>
      </c>
      <c r="CD59" s="49">
        <v>0</v>
      </c>
      <c r="CW59" s="52">
        <f>_xlfn.XLOOKUP(K59,[1]库销表!$F:$F,[1]库销表!$IE:$IE)</f>
        <v>0</v>
      </c>
      <c r="CX59" s="52">
        <f>_xlfn.XLOOKUP(K59,[1]库销表!$F:$F,[1]库销表!$IF:$IF)</f>
        <v>0</v>
      </c>
      <c r="CY59" s="105">
        <f>_xlfn.XLOOKUP(K59,[1]库销表!$F:$F,[1]库销表!$FL:$FL)</f>
        <v>0</v>
      </c>
      <c r="CZ59" s="52">
        <f>_xlfn.XLOOKUP(K59,数据更新表!E:E,数据更新表!F:F)</f>
        <v>6</v>
      </c>
      <c r="DA59" s="52" t="e">
        <v>#N/A</v>
      </c>
      <c r="DB59" s="52">
        <f>_xlfn.XLOOKUP(K59,数据更新表!E:E,数据更新表!G:G)</f>
        <v>2</v>
      </c>
      <c r="DC59" s="106">
        <f>_xlfn.XLOOKUP(L59,数据更新表!Z:Z,数据更新表!AH:AH)</f>
        <v>0</v>
      </c>
      <c r="DD59" s="49">
        <f>_xlfn.XLOOKUP(L59,数据更新表!Z:Z,数据更新表!AE:AE)</f>
        <v>0</v>
      </c>
      <c r="DE59" s="49">
        <f>_xlfn.XLOOKUP(L59,数据更新表!Z:Z,数据更新表!AF:AF)</f>
        <v>0</v>
      </c>
      <c r="DF59" s="49" t="e">
        <f>_xlfn.XLOOKUP(K59,数据更新表!Z:Z,数据更新表!AG:AG)</f>
        <v>#N/A</v>
      </c>
      <c r="DG59" s="49">
        <f>_xlfn.XLOOKUP(L59,数据更新表!Z:Z,数据更新表!AD:AD)</f>
        <v>0</v>
      </c>
      <c r="DH59" s="49">
        <f>_xlfn.XLOOKUP(L59,数据更新表!Z:Z,数据更新表!AA:AA)</f>
        <v>0</v>
      </c>
      <c r="DI59" s="49">
        <f>_xlfn.XLOOKUP(L59,数据更新表!Z:Z,数据更新表!AB:AB)</f>
        <v>0</v>
      </c>
      <c r="DJ59" s="49">
        <f>_xlfn.XLOOKUP(L59,数据更新表!Z:Z,数据更新表!AC:AC)</f>
        <v>0</v>
      </c>
      <c r="DK59" s="49">
        <f>_xlfn.XLOOKUP(L59,数据更新表!Z:Z,数据更新表!AI:AI)</f>
        <v>0</v>
      </c>
      <c r="DX59" s="98">
        <f>_xlfn.XLOOKUP(L59,数据更新表!J:J,数据更新表!L:L)</f>
        <v>0</v>
      </c>
      <c r="DY59" s="98">
        <f>_xlfn.XLOOKUP(L59,数据更新表!J:J,数据更新表!M:M)</f>
        <v>0</v>
      </c>
      <c r="DZ59" s="98">
        <v>160</v>
      </c>
      <c r="EA59" s="108">
        <f t="shared" si="21"/>
        <v>-1.05721823389389</v>
      </c>
      <c r="EB59" s="98">
        <f t="shared" si="7"/>
        <v>417.6</v>
      </c>
      <c r="EC59" s="109">
        <f t="shared" si="8"/>
        <v>-461.923657</v>
      </c>
      <c r="ED59" s="108" t="e">
        <f t="shared" si="9"/>
        <v>#DIV/0!</v>
      </c>
      <c r="EE59" s="110">
        <f t="shared" si="10"/>
        <v>19.323657</v>
      </c>
      <c r="EF59" s="98" t="str">
        <f t="shared" si="11"/>
        <v>否</v>
      </c>
      <c r="EG59" s="98">
        <f t="shared" si="12"/>
        <v>0</v>
      </c>
      <c r="EH59" s="98">
        <f t="shared" si="22"/>
        <v>0</v>
      </c>
      <c r="EI59" s="101">
        <f>IF(DX59&lt;=298,IF(DX59&lt;99,25,IF(DX59&lt;=149,30,IF(DX59&lt;=299,37,85))),IF(DX59&lt;=498,_xlfn.XLOOKUP(EQ59,运费表!A:A,运费表!C:C,"重量超限",-1),_xlfn.XLOOKUP(EQ59,运费表!A:A,运费表!D:D,"重量超限",-1)))</f>
        <v>25</v>
      </c>
      <c r="EJ59" s="101">
        <f t="shared" si="14"/>
        <v>0</v>
      </c>
      <c r="EK59" s="108" t="e">
        <v>#DIV/0!</v>
      </c>
      <c r="EL59" s="98">
        <v>0.96</v>
      </c>
      <c r="EM59" s="98">
        <v>18.5</v>
      </c>
      <c r="EN59" s="98">
        <v>14.5</v>
      </c>
      <c r="EO59" s="98">
        <v>11.5</v>
      </c>
      <c r="EP59" s="98">
        <f t="shared" si="25"/>
        <v>0.616975</v>
      </c>
      <c r="EQ59" s="98">
        <f t="shared" si="24"/>
        <v>0.96</v>
      </c>
      <c r="ER59" s="98">
        <f t="shared" si="26"/>
        <v>0.003084875</v>
      </c>
    </row>
    <row r="60" hidden="1" customHeight="1" spans="2:148">
      <c r="B60" s="118" t="s">
        <v>317</v>
      </c>
      <c r="C60" s="98">
        <v>5</v>
      </c>
      <c r="D60" s="98">
        <v>36</v>
      </c>
      <c r="E60" s="99">
        <v>45952</v>
      </c>
      <c r="G60" s="98" t="s">
        <v>318</v>
      </c>
      <c r="H60" s="116" t="s">
        <v>319</v>
      </c>
      <c r="J60" s="100" t="s">
        <v>320</v>
      </c>
      <c r="K60" s="100" t="s">
        <v>321</v>
      </c>
      <c r="M60" s="106" t="s">
        <v>183</v>
      </c>
      <c r="N60" s="52">
        <f>_xlfn.XLOOKUP(L60,数据更新表!J:J,数据更新表!K:K)</f>
        <v>0</v>
      </c>
      <c r="O60" s="52">
        <f>IFERROR(_xlfn.XLOOKUP(K60,数据更新表!A:A,数据更新表!B:B),"0")</f>
        <v>15</v>
      </c>
      <c r="P60" s="52">
        <f>_xlfn.XLOOKUP(K60,[1]库销表!$F:$F,[1]库销表!$L:$L)</f>
        <v>0</v>
      </c>
      <c r="Q60" s="103">
        <f t="shared" si="0"/>
        <v>10.5</v>
      </c>
      <c r="S60" s="49" t="e">
        <f>_xlfn.XLOOKUP(K60,数据更新表!R:R,数据更新表!S:S)</f>
        <v>#N/A</v>
      </c>
      <c r="T60" s="49" t="e">
        <f>_xlfn.XLOOKUP(K60,数据更新表!V:V,数据更新表!W:W)</f>
        <v>#N/A</v>
      </c>
      <c r="V60" s="104">
        <f t="shared" si="1"/>
        <v>10.5</v>
      </c>
      <c r="W60" s="98">
        <f t="shared" si="2"/>
        <v>1.42857142857143</v>
      </c>
      <c r="X60" s="98">
        <f t="shared" si="3"/>
        <v>15</v>
      </c>
      <c r="AF60" s="49">
        <f t="shared" si="4"/>
        <v>0</v>
      </c>
      <c r="BI60" s="52"/>
      <c r="BR60" s="52"/>
      <c r="BS60" s="52">
        <f>_xlfn.XLOOKUP(K60,[1]库销表!$F:$F,[1]库销表!$L:$L)</f>
        <v>0</v>
      </c>
      <c r="BT60" s="52">
        <f t="shared" si="5"/>
        <v>0</v>
      </c>
      <c r="BU60" s="49" cm="1">
        <f t="array" ref="BU60:CD60">_xlfn.XLOOKUP(K60,[1]库销表!$F:$F,[1]库销表!$HT:$IC)</f>
        <v>0</v>
      </c>
      <c r="BV60" s="49">
        <v>0</v>
      </c>
      <c r="BW60" s="49">
        <v>0</v>
      </c>
      <c r="BX60" s="49">
        <v>0</v>
      </c>
      <c r="BY60" s="49">
        <v>0</v>
      </c>
      <c r="BZ60" s="49">
        <v>0</v>
      </c>
      <c r="CA60" s="49">
        <v>0</v>
      </c>
      <c r="CB60" s="49">
        <v>0</v>
      </c>
      <c r="CC60" s="49">
        <v>0</v>
      </c>
      <c r="CD60" s="49">
        <v>0</v>
      </c>
      <c r="CW60" s="52">
        <f>_xlfn.XLOOKUP(K60,[1]库销表!$F:$F,[1]库销表!$IE:$IE)</f>
        <v>0</v>
      </c>
      <c r="CX60" s="52">
        <f>_xlfn.XLOOKUP(K60,[1]库销表!$F:$F,[1]库销表!$IF:$IF)</f>
        <v>0</v>
      </c>
      <c r="CY60" s="105">
        <f>_xlfn.XLOOKUP(K60,[1]库销表!$F:$F,[1]库销表!$FL:$FL)</f>
        <v>0</v>
      </c>
      <c r="CZ60" s="52">
        <f>_xlfn.XLOOKUP(K60,数据更新表!E:E,数据更新表!F:F)</f>
        <v>10</v>
      </c>
      <c r="DA60" s="52" t="e">
        <v>#N/A</v>
      </c>
      <c r="DB60" s="52">
        <f>_xlfn.XLOOKUP(K60,数据更新表!E:E,数据更新表!G:G)</f>
        <v>1</v>
      </c>
      <c r="DC60" s="106">
        <f>_xlfn.XLOOKUP(L60,数据更新表!Z:Z,数据更新表!AH:AH)</f>
        <v>0</v>
      </c>
      <c r="DD60" s="49">
        <f>_xlfn.XLOOKUP(L60,数据更新表!Z:Z,数据更新表!AE:AE)</f>
        <v>0</v>
      </c>
      <c r="DE60" s="49">
        <f>_xlfn.XLOOKUP(L60,数据更新表!Z:Z,数据更新表!AF:AF)</f>
        <v>0</v>
      </c>
      <c r="DF60" s="49" t="e">
        <f>_xlfn.XLOOKUP(K60,数据更新表!Z:Z,数据更新表!AG:AG)</f>
        <v>#N/A</v>
      </c>
      <c r="DG60" s="49">
        <f>_xlfn.XLOOKUP(L60,数据更新表!Z:Z,数据更新表!AD:AD)</f>
        <v>0</v>
      </c>
      <c r="DH60" s="49">
        <f>_xlfn.XLOOKUP(L60,数据更新表!Z:Z,数据更新表!AA:AA)</f>
        <v>0</v>
      </c>
      <c r="DI60" s="49">
        <f>_xlfn.XLOOKUP(L60,数据更新表!Z:Z,数据更新表!AB:AB)</f>
        <v>0</v>
      </c>
      <c r="DJ60" s="49">
        <f>_xlfn.XLOOKUP(L60,数据更新表!Z:Z,数据更新表!AC:AC)</f>
        <v>0</v>
      </c>
      <c r="DK60" s="49">
        <f>_xlfn.XLOOKUP(L60,数据更新表!Z:Z,数据更新表!AI:AI)</f>
        <v>0</v>
      </c>
      <c r="DX60" s="98">
        <f>_xlfn.XLOOKUP(L60,数据更新表!J:J,数据更新表!L:L)</f>
        <v>0</v>
      </c>
      <c r="DY60" s="98">
        <f>_xlfn.XLOOKUP(L60,数据更新表!J:J,数据更新表!M:M)</f>
        <v>0</v>
      </c>
      <c r="DZ60" s="98">
        <v>87</v>
      </c>
      <c r="EA60" s="108">
        <f t="shared" si="21"/>
        <v>-1.0910888970796</v>
      </c>
      <c r="EB60" s="98">
        <f t="shared" si="7"/>
        <v>227.07</v>
      </c>
      <c r="EC60" s="109">
        <f t="shared" si="8"/>
        <v>-299.45716</v>
      </c>
      <c r="ED60" s="108" t="e">
        <f t="shared" si="9"/>
        <v>#DIV/0!</v>
      </c>
      <c r="EE60" s="110">
        <f t="shared" si="10"/>
        <v>47.38716</v>
      </c>
      <c r="EF60" s="98" t="str">
        <f t="shared" si="11"/>
        <v>否</v>
      </c>
      <c r="EG60" s="98">
        <f t="shared" si="12"/>
        <v>0</v>
      </c>
      <c r="EH60" s="98">
        <f t="shared" si="22"/>
        <v>0</v>
      </c>
      <c r="EI60" s="101">
        <f>IF(DX60&lt;=298,IF(DX60&lt;99,25,IF(DX60&lt;=149,30,IF(DX60&lt;=299,37,85))),IF(DX60&lt;=498,_xlfn.XLOOKUP(EQ60,运费表!A:A,运费表!C:C,"重量超限",-1),_xlfn.XLOOKUP(EQ60,运费表!A:A,运费表!D:D,"重量超限",-1)))</f>
        <v>25</v>
      </c>
      <c r="EJ60" s="101">
        <f t="shared" si="14"/>
        <v>0</v>
      </c>
      <c r="EK60" s="115" t="e">
        <v>#DIV/0!</v>
      </c>
      <c r="EL60" s="122">
        <v>1.4</v>
      </c>
      <c r="EM60" s="98">
        <v>44.5</v>
      </c>
      <c r="EN60" s="98">
        <v>8.5</v>
      </c>
      <c r="EO60" s="98">
        <v>20</v>
      </c>
      <c r="EP60" s="98">
        <f t="shared" si="25"/>
        <v>1.513</v>
      </c>
      <c r="EQ60" s="98">
        <f t="shared" si="24"/>
        <v>1.513</v>
      </c>
      <c r="ER60" s="98">
        <f t="shared" si="26"/>
        <v>0.007565</v>
      </c>
    </row>
    <row r="61" hidden="1" customHeight="1" spans="2:148">
      <c r="B61" s="118" t="s">
        <v>325</v>
      </c>
      <c r="C61" s="98">
        <v>2</v>
      </c>
      <c r="D61" s="98">
        <v>63</v>
      </c>
      <c r="E61" s="99">
        <v>45952</v>
      </c>
      <c r="G61" s="98" t="s">
        <v>318</v>
      </c>
      <c r="H61" s="116" t="s">
        <v>326</v>
      </c>
      <c r="J61" s="100" t="s">
        <v>327</v>
      </c>
      <c r="K61" s="100" t="s">
        <v>328</v>
      </c>
      <c r="M61" s="106" t="s">
        <v>183</v>
      </c>
      <c r="N61" s="52">
        <f>_xlfn.XLOOKUP(L61,数据更新表!J:J,数据更新表!K:K)</f>
        <v>0</v>
      </c>
      <c r="O61" s="52">
        <f>IFERROR(_xlfn.XLOOKUP(K61,数据更新表!A:A,数据更新表!B:B),"0")</f>
        <v>30</v>
      </c>
      <c r="P61" s="52">
        <f>_xlfn.XLOOKUP(K61,[1]库销表!$F:$F,[1]库销表!$L:$L)</f>
        <v>0</v>
      </c>
      <c r="Q61" s="103" t="e">
        <f t="shared" si="0"/>
        <v>#N/A</v>
      </c>
      <c r="S61" s="49" t="e">
        <f>_xlfn.XLOOKUP(K61,数据更新表!R:R,数据更新表!S:S)</f>
        <v>#N/A</v>
      </c>
      <c r="T61" s="49" t="e">
        <f>_xlfn.XLOOKUP(K61,数据更新表!V:V,数据更新表!W:W)</f>
        <v>#N/A</v>
      </c>
      <c r="V61" s="104" t="str">
        <f t="shared" si="1"/>
        <v>0</v>
      </c>
      <c r="W61" s="98" t="e">
        <f t="shared" si="2"/>
        <v>#N/A</v>
      </c>
      <c r="X61" s="98">
        <f t="shared" si="3"/>
        <v>30</v>
      </c>
      <c r="AF61" s="49">
        <f t="shared" si="4"/>
        <v>0</v>
      </c>
      <c r="BI61" s="52"/>
      <c r="BR61" s="52"/>
      <c r="BS61" s="52">
        <f>_xlfn.XLOOKUP(K61,[1]库销表!$F:$F,[1]库销表!$L:$L)</f>
        <v>0</v>
      </c>
      <c r="BT61" s="52">
        <f t="shared" si="5"/>
        <v>0</v>
      </c>
      <c r="BU61" s="49" cm="1">
        <f t="array" ref="BU61:CD61">_xlfn.XLOOKUP(K61,[1]库销表!$F:$F,[1]库销表!$HT:$IC)</f>
        <v>0</v>
      </c>
      <c r="BV61" s="49">
        <v>0</v>
      </c>
      <c r="BW61" s="49">
        <v>0</v>
      </c>
      <c r="BX61" s="49">
        <v>0</v>
      </c>
      <c r="BY61" s="49">
        <v>0</v>
      </c>
      <c r="BZ61" s="49">
        <v>0</v>
      </c>
      <c r="CA61" s="49">
        <v>0</v>
      </c>
      <c r="CB61" s="49">
        <v>0</v>
      </c>
      <c r="CC61" s="49">
        <v>0</v>
      </c>
      <c r="CD61" s="49">
        <v>0</v>
      </c>
      <c r="CW61" s="52">
        <f>_xlfn.XLOOKUP(K61,[1]库销表!$F:$F,[1]库销表!$IE:$IE)</f>
        <v>0</v>
      </c>
      <c r="CX61" s="52">
        <f>_xlfn.XLOOKUP(K61,[1]库销表!$F:$F,[1]库销表!$IF:$IF)</f>
        <v>0</v>
      </c>
      <c r="CY61" s="105">
        <f>_xlfn.XLOOKUP(K61,[1]库销表!$F:$F,[1]库销表!$FL:$FL)</f>
        <v>0</v>
      </c>
      <c r="CZ61" s="52" t="e">
        <f>_xlfn.XLOOKUP(K61,数据更新表!E:E,数据更新表!F:F)</f>
        <v>#N/A</v>
      </c>
      <c r="DA61" s="52" t="e">
        <v>#N/A</v>
      </c>
      <c r="DB61" s="52" t="e">
        <f>_xlfn.XLOOKUP(K61,数据更新表!E:E,数据更新表!G:G)</f>
        <v>#N/A</v>
      </c>
      <c r="DC61" s="106">
        <f>_xlfn.XLOOKUP(L61,数据更新表!Z:Z,数据更新表!AH:AH)</f>
        <v>0</v>
      </c>
      <c r="DD61" s="49">
        <f>_xlfn.XLOOKUP(L61,数据更新表!Z:Z,数据更新表!AE:AE)</f>
        <v>0</v>
      </c>
      <c r="DE61" s="49">
        <f>_xlfn.XLOOKUP(L61,数据更新表!Z:Z,数据更新表!AF:AF)</f>
        <v>0</v>
      </c>
      <c r="DF61" s="49" t="e">
        <f>_xlfn.XLOOKUP(K61,数据更新表!Z:Z,数据更新表!AG:AG)</f>
        <v>#N/A</v>
      </c>
      <c r="DG61" s="49">
        <f>_xlfn.XLOOKUP(L61,数据更新表!Z:Z,数据更新表!AD:AD)</f>
        <v>0</v>
      </c>
      <c r="DH61" s="49">
        <f>_xlfn.XLOOKUP(L61,数据更新表!Z:Z,数据更新表!AA:AA)</f>
        <v>0</v>
      </c>
      <c r="DI61" s="49">
        <f>_xlfn.XLOOKUP(L61,数据更新表!Z:Z,数据更新表!AB:AB)</f>
        <v>0</v>
      </c>
      <c r="DJ61" s="49">
        <f>_xlfn.XLOOKUP(L61,数据更新表!Z:Z,数据更新表!AC:AC)</f>
        <v>0</v>
      </c>
      <c r="DK61" s="49">
        <f>_xlfn.XLOOKUP(L61,数据更新表!Z:Z,数据更新表!AI:AI)</f>
        <v>0</v>
      </c>
      <c r="DX61" s="98">
        <f>_xlfn.XLOOKUP(L61,数据更新表!J:J,数据更新表!L:L)</f>
        <v>0</v>
      </c>
      <c r="DY61" s="98">
        <f>_xlfn.XLOOKUP(L61,数据更新表!J:J,数据更新表!M:M)</f>
        <v>0</v>
      </c>
      <c r="DZ61" s="98">
        <v>29</v>
      </c>
      <c r="EA61" s="108">
        <f t="shared" si="21"/>
        <v>-1.29501490887343</v>
      </c>
      <c r="EB61" s="98">
        <f t="shared" si="7"/>
        <v>75.69</v>
      </c>
      <c r="EC61" s="109">
        <f t="shared" si="8"/>
        <v>-109.74148</v>
      </c>
      <c r="ED61" s="108" t="e">
        <f t="shared" si="9"/>
        <v>#DIV/0!</v>
      </c>
      <c r="EE61" s="110">
        <f t="shared" si="10"/>
        <v>9.05148</v>
      </c>
      <c r="EF61" s="98" t="str">
        <f t="shared" si="11"/>
        <v>否</v>
      </c>
      <c r="EG61" s="98">
        <f t="shared" si="12"/>
        <v>0</v>
      </c>
      <c r="EH61" s="98">
        <f t="shared" si="22"/>
        <v>0</v>
      </c>
      <c r="EI61" s="101">
        <f>IF(DX61&lt;=298,IF(DX61&lt;99,25,IF(DX61&lt;=149,30,IF(DX61&lt;=299,37,85))),IF(DX61&lt;=498,_xlfn.XLOOKUP(EQ61,运费表!A:A,运费表!C:C,"重量超限",-1),_xlfn.XLOOKUP(EQ61,运费表!A:A,运费表!D:D,"重量超限",-1)))</f>
        <v>25</v>
      </c>
      <c r="EJ61" s="101">
        <f t="shared" si="14"/>
        <v>0</v>
      </c>
      <c r="EK61" s="115" t="e">
        <v>#DIV/0!</v>
      </c>
      <c r="EL61" s="122">
        <v>0.18</v>
      </c>
      <c r="EM61" s="98">
        <v>8.5</v>
      </c>
      <c r="EN61" s="98">
        <v>8.5</v>
      </c>
      <c r="EO61" s="98">
        <v>20</v>
      </c>
      <c r="EP61" s="98">
        <f t="shared" si="25"/>
        <v>0.289</v>
      </c>
      <c r="EQ61" s="98">
        <f t="shared" si="24"/>
        <v>0.289</v>
      </c>
      <c r="ER61" s="98">
        <f t="shared" si="26"/>
        <v>0.001445</v>
      </c>
    </row>
    <row r="62" hidden="1" customHeight="1" spans="2:148">
      <c r="B62" s="118" t="s">
        <v>330</v>
      </c>
      <c r="C62" s="98">
        <v>9</v>
      </c>
      <c r="D62" s="98">
        <v>65</v>
      </c>
      <c r="E62" s="99">
        <v>45952</v>
      </c>
      <c r="G62" s="98" t="s">
        <v>318</v>
      </c>
      <c r="H62" s="116" t="s">
        <v>331</v>
      </c>
      <c r="J62" s="100" t="s">
        <v>332</v>
      </c>
      <c r="K62" s="100" t="s">
        <v>333</v>
      </c>
      <c r="M62" s="106" t="s">
        <v>183</v>
      </c>
      <c r="N62" s="52">
        <f>_xlfn.XLOOKUP(L62,数据更新表!J:J,数据更新表!K:K)</f>
        <v>0</v>
      </c>
      <c r="O62" s="52">
        <f>IFERROR(_xlfn.XLOOKUP(K62,数据更新表!A:A,数据更新表!B:B),"0")</f>
        <v>30</v>
      </c>
      <c r="P62" s="52">
        <f>_xlfn.XLOOKUP(K62,[1]库销表!$F:$F,[1]库销表!$L:$L)</f>
        <v>0</v>
      </c>
      <c r="Q62" s="103" t="e">
        <f t="shared" si="0"/>
        <v>#N/A</v>
      </c>
      <c r="S62" s="49" t="e">
        <f>_xlfn.XLOOKUP(K62,数据更新表!R:R,数据更新表!S:S)</f>
        <v>#N/A</v>
      </c>
      <c r="T62" s="49" t="e">
        <f>_xlfn.XLOOKUP(K62,数据更新表!V:V,数据更新表!W:W)</f>
        <v>#N/A</v>
      </c>
      <c r="V62" s="104" t="str">
        <f t="shared" si="1"/>
        <v>0</v>
      </c>
      <c r="W62" s="98" t="e">
        <f t="shared" si="2"/>
        <v>#N/A</v>
      </c>
      <c r="X62" s="98">
        <f t="shared" si="3"/>
        <v>30</v>
      </c>
      <c r="AF62" s="49">
        <f t="shared" si="4"/>
        <v>0</v>
      </c>
      <c r="BI62" s="52"/>
      <c r="BR62" s="52"/>
      <c r="BS62" s="52">
        <f>_xlfn.XLOOKUP(K62,[1]库销表!$F:$F,[1]库销表!$L:$L)</f>
        <v>0</v>
      </c>
      <c r="BT62" s="52">
        <f t="shared" si="5"/>
        <v>0</v>
      </c>
      <c r="BU62" s="49" cm="1">
        <f t="array" ref="BU62:CD62">_xlfn.XLOOKUP(K62,[1]库销表!$F:$F,[1]库销表!$HT:$IC)</f>
        <v>0</v>
      </c>
      <c r="BV62" s="49">
        <v>0</v>
      </c>
      <c r="BW62" s="49">
        <v>0</v>
      </c>
      <c r="BX62" s="49">
        <v>0</v>
      </c>
      <c r="BY62" s="49">
        <v>0</v>
      </c>
      <c r="BZ62" s="49">
        <v>0</v>
      </c>
      <c r="CA62" s="49">
        <v>0</v>
      </c>
      <c r="CB62" s="49">
        <v>0</v>
      </c>
      <c r="CC62" s="49">
        <v>0</v>
      </c>
      <c r="CD62" s="49">
        <v>0</v>
      </c>
      <c r="CW62" s="52">
        <f>_xlfn.XLOOKUP(K62,[1]库销表!$F:$F,[1]库销表!$IE:$IE)</f>
        <v>0</v>
      </c>
      <c r="CX62" s="52">
        <f>_xlfn.XLOOKUP(K62,[1]库销表!$F:$F,[1]库销表!$IF:$IF)</f>
        <v>0</v>
      </c>
      <c r="CY62" s="105">
        <f>_xlfn.XLOOKUP(K62,[1]库销表!$F:$F,[1]库销表!$FL:$FL)</f>
        <v>0</v>
      </c>
      <c r="CZ62" s="52" t="e">
        <f>_xlfn.XLOOKUP(K62,数据更新表!E:E,数据更新表!F:F)</f>
        <v>#N/A</v>
      </c>
      <c r="DA62" s="52" t="e">
        <v>#N/A</v>
      </c>
      <c r="DB62" s="52" t="e">
        <f>_xlfn.XLOOKUP(K62,数据更新表!E:E,数据更新表!G:G)</f>
        <v>#N/A</v>
      </c>
      <c r="DC62" s="106">
        <f>_xlfn.XLOOKUP(L62,数据更新表!Z:Z,数据更新表!AH:AH)</f>
        <v>0</v>
      </c>
      <c r="DD62" s="49">
        <f>_xlfn.XLOOKUP(L62,数据更新表!Z:Z,数据更新表!AE:AE)</f>
        <v>0</v>
      </c>
      <c r="DE62" s="49">
        <f>_xlfn.XLOOKUP(L62,数据更新表!Z:Z,数据更新表!AF:AF)</f>
        <v>0</v>
      </c>
      <c r="DF62" s="49" t="e">
        <f>_xlfn.XLOOKUP(K62,数据更新表!Z:Z,数据更新表!AG:AG)</f>
        <v>#N/A</v>
      </c>
      <c r="DG62" s="49">
        <f>_xlfn.XLOOKUP(L62,数据更新表!Z:Z,数据更新表!AD:AD)</f>
        <v>0</v>
      </c>
      <c r="DH62" s="49">
        <f>_xlfn.XLOOKUP(L62,数据更新表!Z:Z,数据更新表!AA:AA)</f>
        <v>0</v>
      </c>
      <c r="DI62" s="49">
        <f>_xlfn.XLOOKUP(L62,数据更新表!Z:Z,数据更新表!AB:AB)</f>
        <v>0</v>
      </c>
      <c r="DJ62" s="49">
        <f>_xlfn.XLOOKUP(L62,数据更新表!Z:Z,数据更新表!AC:AC)</f>
        <v>0</v>
      </c>
      <c r="DK62" s="49">
        <f>_xlfn.XLOOKUP(L62,数据更新表!Z:Z,数据更新表!AI:AI)</f>
        <v>0</v>
      </c>
      <c r="DX62" s="98">
        <f>_xlfn.XLOOKUP(L62,数据更新表!J:J,数据更新表!L:L)</f>
        <v>0</v>
      </c>
      <c r="DY62" s="98">
        <f>_xlfn.XLOOKUP(L62,数据更新表!J:J,数据更新表!M:M)</f>
        <v>0</v>
      </c>
      <c r="DZ62" s="98">
        <v>15</v>
      </c>
      <c r="EA62" s="108">
        <f t="shared" si="21"/>
        <v>-1.51865627362479</v>
      </c>
      <c r="EB62" s="98">
        <f t="shared" si="7"/>
        <v>39.15</v>
      </c>
      <c r="EC62" s="109">
        <f t="shared" si="8"/>
        <v>-73.20148</v>
      </c>
      <c r="ED62" s="108" t="e">
        <f t="shared" si="9"/>
        <v>#DIV/0!</v>
      </c>
      <c r="EE62" s="110">
        <f t="shared" si="10"/>
        <v>9.05148</v>
      </c>
      <c r="EF62" s="98" t="str">
        <f t="shared" si="11"/>
        <v>否</v>
      </c>
      <c r="EG62" s="98">
        <f t="shared" si="12"/>
        <v>0</v>
      </c>
      <c r="EH62" s="98">
        <f t="shared" si="22"/>
        <v>0</v>
      </c>
      <c r="EI62" s="101">
        <f>IF(DX62&lt;=298,IF(DX62&lt;99,25,IF(DX62&lt;=149,30,IF(DX62&lt;=299,37,85))),IF(DX62&lt;=498,_xlfn.XLOOKUP(EQ62,运费表!A:A,运费表!C:C,"重量超限",-1),_xlfn.XLOOKUP(EQ62,运费表!A:A,运费表!D:D,"重量超限",-1)))</f>
        <v>25</v>
      </c>
      <c r="EJ62" s="101">
        <f t="shared" si="14"/>
        <v>0</v>
      </c>
      <c r="EK62" s="115" t="e">
        <v>#DIV/0!</v>
      </c>
      <c r="EL62" s="122">
        <v>0.2</v>
      </c>
      <c r="EM62" s="98">
        <v>8.5</v>
      </c>
      <c r="EN62" s="98">
        <v>8.5</v>
      </c>
      <c r="EO62" s="98">
        <v>20</v>
      </c>
      <c r="EP62" s="98">
        <f t="shared" si="25"/>
        <v>0.289</v>
      </c>
      <c r="EQ62" s="98">
        <f t="shared" si="24"/>
        <v>0.289</v>
      </c>
      <c r="ER62" s="98">
        <f t="shared" si="26"/>
        <v>0.001445</v>
      </c>
    </row>
    <row r="63" hidden="1" customHeight="1" spans="2:148">
      <c r="B63" s="118" t="s">
        <v>335</v>
      </c>
      <c r="C63" s="98">
        <v>28</v>
      </c>
      <c r="D63" s="98">
        <v>137</v>
      </c>
      <c r="E63" s="99">
        <v>45952</v>
      </c>
      <c r="G63" s="98" t="s">
        <v>336</v>
      </c>
      <c r="H63" s="116" t="s">
        <v>337</v>
      </c>
      <c r="I63" s="116"/>
      <c r="J63" s="116" t="s">
        <v>338</v>
      </c>
      <c r="K63" s="116" t="s">
        <v>339</v>
      </c>
      <c r="M63" s="106" t="s">
        <v>183</v>
      </c>
      <c r="N63" s="52">
        <f>_xlfn.XLOOKUP(L63,数据更新表!J:J,数据更新表!K:K)</f>
        <v>0</v>
      </c>
      <c r="O63" s="52">
        <f>IFERROR(_xlfn.XLOOKUP(K63,数据更新表!A:A,数据更新表!B:B),"0")</f>
        <v>29</v>
      </c>
      <c r="P63" s="52">
        <f>_xlfn.XLOOKUP(K63,[1]库销表!$F:$F,[1]库销表!$L:$L)</f>
        <v>0</v>
      </c>
      <c r="Q63" s="103" t="e">
        <f t="shared" si="0"/>
        <v>#N/A</v>
      </c>
      <c r="S63" s="49" t="e">
        <f>_xlfn.XLOOKUP(K63,数据更新表!R:R,数据更新表!S:S)</f>
        <v>#N/A</v>
      </c>
      <c r="T63" s="49" t="e">
        <f>_xlfn.XLOOKUP(K63,数据更新表!V:V,数据更新表!W:W)</f>
        <v>#N/A</v>
      </c>
      <c r="V63" s="104" t="str">
        <f t="shared" si="1"/>
        <v>0</v>
      </c>
      <c r="W63" s="98" t="e">
        <f t="shared" si="2"/>
        <v>#N/A</v>
      </c>
      <c r="X63" s="98">
        <f t="shared" si="3"/>
        <v>29</v>
      </c>
      <c r="AF63" s="49">
        <f t="shared" si="4"/>
        <v>0</v>
      </c>
      <c r="BI63" s="52"/>
      <c r="BR63" s="52"/>
      <c r="BS63" s="52">
        <f>_xlfn.XLOOKUP(K63,[1]库销表!$F:$F,[1]库销表!$L:$L)</f>
        <v>0</v>
      </c>
      <c r="BT63" s="52">
        <f t="shared" si="5"/>
        <v>0</v>
      </c>
      <c r="BU63" s="49" cm="1">
        <f t="array" ref="BU63:CD63">_xlfn.XLOOKUP(K63,[1]库销表!$F:$F,[1]库销表!$HT:$IC)</f>
        <v>0</v>
      </c>
      <c r="BV63" s="49">
        <v>0</v>
      </c>
      <c r="BW63" s="49">
        <v>0</v>
      </c>
      <c r="BX63" s="49">
        <v>0</v>
      </c>
      <c r="BY63" s="49">
        <v>0</v>
      </c>
      <c r="BZ63" s="49">
        <v>0</v>
      </c>
      <c r="CA63" s="49">
        <v>0</v>
      </c>
      <c r="CB63" s="49">
        <v>0</v>
      </c>
      <c r="CC63" s="49">
        <v>0</v>
      </c>
      <c r="CD63" s="49">
        <v>0</v>
      </c>
      <c r="CW63" s="52">
        <f>_xlfn.XLOOKUP(K63,[1]库销表!$F:$F,[1]库销表!$IE:$IE)</f>
        <v>0</v>
      </c>
      <c r="CX63" s="52">
        <f>_xlfn.XLOOKUP(K63,[1]库销表!$F:$F,[1]库销表!$IF:$IF)</f>
        <v>0</v>
      </c>
      <c r="CY63" s="105">
        <f>_xlfn.XLOOKUP(K63,[1]库销表!$F:$F,[1]库销表!$FL:$FL)</f>
        <v>0</v>
      </c>
      <c r="CZ63" s="52" t="e">
        <f>_xlfn.XLOOKUP(K63,数据更新表!E:E,数据更新表!F:F)</f>
        <v>#N/A</v>
      </c>
      <c r="DA63" s="52" t="e">
        <v>#N/A</v>
      </c>
      <c r="DB63" s="52" t="e">
        <f>_xlfn.XLOOKUP(K63,数据更新表!E:E,数据更新表!G:G)</f>
        <v>#N/A</v>
      </c>
      <c r="DC63" s="106">
        <f>_xlfn.XLOOKUP(L63,数据更新表!Z:Z,数据更新表!AH:AH)</f>
        <v>0</v>
      </c>
      <c r="DD63" s="49">
        <f>_xlfn.XLOOKUP(L63,数据更新表!Z:Z,数据更新表!AE:AE)</f>
        <v>0</v>
      </c>
      <c r="DE63" s="49">
        <f>_xlfn.XLOOKUP(L63,数据更新表!Z:Z,数据更新表!AF:AF)</f>
        <v>0</v>
      </c>
      <c r="DF63" s="49" t="e">
        <f>_xlfn.XLOOKUP(K63,数据更新表!Z:Z,数据更新表!AG:AG)</f>
        <v>#N/A</v>
      </c>
      <c r="DG63" s="49">
        <f>_xlfn.XLOOKUP(L63,数据更新表!Z:Z,数据更新表!AD:AD)</f>
        <v>0</v>
      </c>
      <c r="DH63" s="49">
        <f>_xlfn.XLOOKUP(L63,数据更新表!Z:Z,数据更新表!AA:AA)</f>
        <v>0</v>
      </c>
      <c r="DI63" s="49">
        <f>_xlfn.XLOOKUP(L63,数据更新表!Z:Z,数据更新表!AB:AB)</f>
        <v>0</v>
      </c>
      <c r="DJ63" s="49">
        <f>_xlfn.XLOOKUP(L63,数据更新表!Z:Z,数据更新表!AC:AC)</f>
        <v>0</v>
      </c>
      <c r="DK63" s="49">
        <f>_xlfn.XLOOKUP(L63,数据更新表!Z:Z,数据更新表!AI:AI)</f>
        <v>0</v>
      </c>
      <c r="DX63" s="98">
        <f>_xlfn.XLOOKUP(L63,数据更新表!J:J,数据更新表!L:L)</f>
        <v>0</v>
      </c>
      <c r="DY63" s="98">
        <f>_xlfn.XLOOKUP(L63,数据更新表!J:J,数据更新表!M:M)</f>
        <v>0</v>
      </c>
      <c r="DZ63" s="98">
        <v>48</v>
      </c>
      <c r="EA63" s="108">
        <f t="shared" si="21"/>
        <v>-1.1923587828004</v>
      </c>
      <c r="EB63" s="98">
        <f t="shared" si="7"/>
        <v>125.28</v>
      </c>
      <c r="EC63" s="109">
        <f t="shared" si="8"/>
        <v>-154.965472</v>
      </c>
      <c r="ED63" s="108" t="e">
        <f t="shared" si="9"/>
        <v>#DIV/0!</v>
      </c>
      <c r="EE63" s="110">
        <f t="shared" si="10"/>
        <v>4.685472</v>
      </c>
      <c r="EF63" s="98" t="str">
        <f t="shared" si="11"/>
        <v>否</v>
      </c>
      <c r="EG63" s="98">
        <f t="shared" si="12"/>
        <v>0</v>
      </c>
      <c r="EH63" s="98">
        <f t="shared" si="22"/>
        <v>0</v>
      </c>
      <c r="EI63" s="101">
        <f>IF(DX63&lt;=298,IF(DX63&lt;99,25,IF(DX63&lt;=149,30,IF(DX63&lt;=299,37,85))),IF(DX63&lt;=498,_xlfn.XLOOKUP(EQ63,运费表!A:A,运费表!C:C,"重量超限",-1),_xlfn.XLOOKUP(EQ63,运费表!A:A,运费表!D:D,"重量超限",-1)))</f>
        <v>25</v>
      </c>
      <c r="EJ63" s="101">
        <f t="shared" si="14"/>
        <v>0</v>
      </c>
      <c r="EK63" s="108" t="e">
        <v>#DIV/0!</v>
      </c>
      <c r="EL63" s="98">
        <v>0.405</v>
      </c>
      <c r="EM63" s="98">
        <v>17</v>
      </c>
      <c r="EN63" s="98">
        <v>8</v>
      </c>
      <c r="EO63" s="98">
        <v>5.5</v>
      </c>
      <c r="EP63" s="98">
        <f t="shared" si="25"/>
        <v>0.1496</v>
      </c>
      <c r="EQ63" s="98">
        <f t="shared" si="24"/>
        <v>0.405</v>
      </c>
      <c r="ER63" s="98">
        <f t="shared" si="26"/>
        <v>0.000748</v>
      </c>
    </row>
    <row r="64" hidden="1" customHeight="1" spans="2:148">
      <c r="B64" s="118" t="s">
        <v>342</v>
      </c>
      <c r="C64" s="98">
        <v>16</v>
      </c>
      <c r="D64" s="98">
        <v>60</v>
      </c>
      <c r="E64" s="99">
        <v>45952</v>
      </c>
      <c r="G64" s="98" t="s">
        <v>336</v>
      </c>
      <c r="H64" s="116" t="s">
        <v>343</v>
      </c>
      <c r="I64" s="116"/>
      <c r="J64" s="116" t="s">
        <v>344</v>
      </c>
      <c r="K64" s="116" t="s">
        <v>345</v>
      </c>
      <c r="M64" s="106" t="s">
        <v>183</v>
      </c>
      <c r="N64" s="52">
        <f>_xlfn.XLOOKUP(L64,数据更新表!J:J,数据更新表!K:K)</f>
        <v>0</v>
      </c>
      <c r="O64" s="52">
        <f>IFERROR(_xlfn.XLOOKUP(K64,数据更新表!A:A,数据更新表!B:B),"0")</f>
        <v>26</v>
      </c>
      <c r="P64" s="52">
        <f>_xlfn.XLOOKUP(K64,[1]库销表!$F:$F,[1]库销表!$L:$L)</f>
        <v>0</v>
      </c>
      <c r="Q64" s="103">
        <f t="shared" si="0"/>
        <v>45.5</v>
      </c>
      <c r="S64" s="49" t="e">
        <f>_xlfn.XLOOKUP(K64,数据更新表!R:R,数据更新表!S:S)</f>
        <v>#N/A</v>
      </c>
      <c r="T64" s="49" t="e">
        <f>_xlfn.XLOOKUP(K64,数据更新表!V:V,数据更新表!W:W)</f>
        <v>#N/A</v>
      </c>
      <c r="V64" s="104">
        <f t="shared" si="1"/>
        <v>45.5</v>
      </c>
      <c r="W64" s="98">
        <f t="shared" si="2"/>
        <v>0.571428571428571</v>
      </c>
      <c r="X64" s="98">
        <f t="shared" si="3"/>
        <v>26</v>
      </c>
      <c r="AF64" s="49">
        <f t="shared" si="4"/>
        <v>0</v>
      </c>
      <c r="BI64" s="52"/>
      <c r="BR64" s="52"/>
      <c r="BS64" s="52">
        <f>_xlfn.XLOOKUP(K64,[1]库销表!$F:$F,[1]库销表!$L:$L)</f>
        <v>0</v>
      </c>
      <c r="BT64" s="52">
        <f t="shared" si="5"/>
        <v>0</v>
      </c>
      <c r="BU64" s="49" cm="1">
        <f t="array" ref="BU64:CD64">_xlfn.XLOOKUP(K64,[1]库销表!$F:$F,[1]库销表!$HT:$IC)</f>
        <v>0</v>
      </c>
      <c r="BV64" s="49">
        <v>0</v>
      </c>
      <c r="BW64" s="49">
        <v>0</v>
      </c>
      <c r="BX64" s="49">
        <v>0</v>
      </c>
      <c r="BY64" s="49">
        <v>0</v>
      </c>
      <c r="BZ64" s="49">
        <v>0</v>
      </c>
      <c r="CA64" s="49">
        <v>0</v>
      </c>
      <c r="CB64" s="49">
        <v>0</v>
      </c>
      <c r="CC64" s="49">
        <v>0</v>
      </c>
      <c r="CD64" s="49">
        <v>0</v>
      </c>
      <c r="CW64" s="52">
        <f>_xlfn.XLOOKUP(K64,[1]库销表!$F:$F,[1]库销表!$IE:$IE)</f>
        <v>0</v>
      </c>
      <c r="CX64" s="52">
        <f>_xlfn.XLOOKUP(K64,[1]库销表!$F:$F,[1]库销表!$IF:$IF)</f>
        <v>0</v>
      </c>
      <c r="CY64" s="105">
        <f>_xlfn.XLOOKUP(K64,[1]库销表!$F:$F,[1]库销表!$FL:$FL)</f>
        <v>0</v>
      </c>
      <c r="CZ64" s="52">
        <f>_xlfn.XLOOKUP(K64,数据更新表!E:E,数据更新表!F:F)</f>
        <v>4</v>
      </c>
      <c r="DA64" s="52" t="e">
        <v>#N/A</v>
      </c>
      <c r="DB64" s="52">
        <f>_xlfn.XLOOKUP(K64,数据更新表!E:E,数据更新表!G:G)</f>
        <v>1</v>
      </c>
      <c r="DC64" s="106">
        <f>_xlfn.XLOOKUP(L64,数据更新表!Z:Z,数据更新表!AH:AH)</f>
        <v>0</v>
      </c>
      <c r="DD64" s="49">
        <f>_xlfn.XLOOKUP(L64,数据更新表!Z:Z,数据更新表!AE:AE)</f>
        <v>0</v>
      </c>
      <c r="DE64" s="49">
        <f>_xlfn.XLOOKUP(L64,数据更新表!Z:Z,数据更新表!AF:AF)</f>
        <v>0</v>
      </c>
      <c r="DF64" s="49" t="e">
        <f>_xlfn.XLOOKUP(K64,数据更新表!Z:Z,数据更新表!AG:AG)</f>
        <v>#N/A</v>
      </c>
      <c r="DG64" s="49">
        <f>_xlfn.XLOOKUP(L64,数据更新表!Z:Z,数据更新表!AD:AD)</f>
        <v>0</v>
      </c>
      <c r="DH64" s="49">
        <f>_xlfn.XLOOKUP(L64,数据更新表!Z:Z,数据更新表!AA:AA)</f>
        <v>0</v>
      </c>
      <c r="DI64" s="49">
        <f>_xlfn.XLOOKUP(L64,数据更新表!Z:Z,数据更新表!AB:AB)</f>
        <v>0</v>
      </c>
      <c r="DJ64" s="49">
        <f>_xlfn.XLOOKUP(L64,数据更新表!Z:Z,数据更新表!AC:AC)</f>
        <v>0</v>
      </c>
      <c r="DK64" s="49">
        <f>_xlfn.XLOOKUP(L64,数据更新表!Z:Z,数据更新表!AI:AI)</f>
        <v>0</v>
      </c>
      <c r="DX64" s="98">
        <f>_xlfn.XLOOKUP(L64,数据更新表!J:J,数据更新表!L:L)</f>
        <v>0</v>
      </c>
      <c r="DY64" s="98">
        <f>_xlfn.XLOOKUP(L64,数据更新表!J:J,数据更新表!M:M)</f>
        <v>0</v>
      </c>
      <c r="DZ64" s="98">
        <v>35</v>
      </c>
      <c r="EA64" s="108">
        <f t="shared" si="21"/>
        <v>-1.26453051293863</v>
      </c>
      <c r="EB64" s="98">
        <f t="shared" si="7"/>
        <v>91.35</v>
      </c>
      <c r="EC64" s="109">
        <f t="shared" si="8"/>
        <v>-119.507056</v>
      </c>
      <c r="ED64" s="108" t="e">
        <f t="shared" si="9"/>
        <v>#DIV/0!</v>
      </c>
      <c r="EE64" s="110">
        <f t="shared" si="10"/>
        <v>3.157056</v>
      </c>
      <c r="EF64" s="98" t="str">
        <f t="shared" si="11"/>
        <v>否</v>
      </c>
      <c r="EG64" s="98">
        <f t="shared" si="12"/>
        <v>0</v>
      </c>
      <c r="EH64" s="98">
        <f t="shared" si="22"/>
        <v>0</v>
      </c>
      <c r="EI64" s="101">
        <f>IF(DX64&lt;=298,IF(DX64&lt;99,25,IF(DX64&lt;=149,30,IF(DX64&lt;=299,37,85))),IF(DX64&lt;=498,_xlfn.XLOOKUP(EQ64,运费表!A:A,运费表!C:C,"重量超限",-1),_xlfn.XLOOKUP(EQ64,运费表!A:A,运费表!D:D,"重量超限",-1)))</f>
        <v>25</v>
      </c>
      <c r="EJ64" s="101">
        <f t="shared" si="14"/>
        <v>0</v>
      </c>
      <c r="EK64" s="108" t="e">
        <v>#DIV/0!</v>
      </c>
      <c r="EL64" s="98">
        <v>0.145</v>
      </c>
      <c r="EM64" s="98">
        <v>6</v>
      </c>
      <c r="EN64" s="98">
        <v>6</v>
      </c>
      <c r="EO64" s="98">
        <v>14</v>
      </c>
      <c r="EP64" s="98">
        <f t="shared" si="25"/>
        <v>0.1008</v>
      </c>
      <c r="EQ64" s="98">
        <f t="shared" si="24"/>
        <v>0.145</v>
      </c>
      <c r="ER64" s="98">
        <f t="shared" si="26"/>
        <v>0.000504</v>
      </c>
    </row>
    <row r="65" hidden="1" customHeight="1" spans="2:148">
      <c r="B65" s="118" t="s">
        <v>349</v>
      </c>
      <c r="C65" s="98">
        <v>8</v>
      </c>
      <c r="D65" s="98">
        <v>24</v>
      </c>
      <c r="E65" s="99">
        <v>45952</v>
      </c>
      <c r="G65" s="98" t="s">
        <v>336</v>
      </c>
      <c r="H65" s="116" t="s">
        <v>350</v>
      </c>
      <c r="I65" s="116"/>
      <c r="J65" s="116" t="s">
        <v>351</v>
      </c>
      <c r="K65" s="116" t="s">
        <v>352</v>
      </c>
      <c r="M65" s="106" t="s">
        <v>183</v>
      </c>
      <c r="N65" s="52">
        <f>_xlfn.XLOOKUP(L65,数据更新表!J:J,数据更新表!K:K)</f>
        <v>0</v>
      </c>
      <c r="O65" s="52">
        <f>IFERROR(_xlfn.XLOOKUP(K65,数据更新表!A:A,数据更新表!B:B),"0")</f>
        <v>17</v>
      </c>
      <c r="P65" s="52">
        <f>_xlfn.XLOOKUP(K65,[1]库销表!$F:$F,[1]库销表!$L:$L)</f>
        <v>0</v>
      </c>
      <c r="Q65" s="103">
        <f t="shared" si="0"/>
        <v>17</v>
      </c>
      <c r="S65" s="49" t="e">
        <f>_xlfn.XLOOKUP(K65,数据更新表!R:R,数据更新表!S:S)</f>
        <v>#N/A</v>
      </c>
      <c r="T65" s="49" t="e">
        <f>_xlfn.XLOOKUP(K65,数据更新表!V:V,数据更新表!W:W)</f>
        <v>#N/A</v>
      </c>
      <c r="V65" s="104">
        <f t="shared" si="1"/>
        <v>17</v>
      </c>
      <c r="W65" s="98">
        <f t="shared" si="2"/>
        <v>1</v>
      </c>
      <c r="X65" s="98">
        <f t="shared" si="3"/>
        <v>17</v>
      </c>
      <c r="AF65" s="49">
        <f t="shared" si="4"/>
        <v>0</v>
      </c>
      <c r="BI65" s="52"/>
      <c r="BR65" s="52"/>
      <c r="BS65" s="52">
        <f>_xlfn.XLOOKUP(K65,[1]库销表!$F:$F,[1]库销表!$L:$L)</f>
        <v>0</v>
      </c>
      <c r="BT65" s="52">
        <f t="shared" si="5"/>
        <v>0</v>
      </c>
      <c r="BU65" s="49" cm="1">
        <f t="array" ref="BU65:CD65">_xlfn.XLOOKUP(K65,[1]库销表!$F:$F,[1]库销表!$HT:$IC)</f>
        <v>0</v>
      </c>
      <c r="BV65" s="49">
        <v>0</v>
      </c>
      <c r="BW65" s="49">
        <v>0</v>
      </c>
      <c r="BX65" s="49">
        <v>0</v>
      </c>
      <c r="BY65" s="49">
        <v>0</v>
      </c>
      <c r="BZ65" s="49">
        <v>0</v>
      </c>
      <c r="CA65" s="49">
        <v>0</v>
      </c>
      <c r="CB65" s="49">
        <v>0</v>
      </c>
      <c r="CC65" s="49">
        <v>0</v>
      </c>
      <c r="CD65" s="49">
        <v>0</v>
      </c>
      <c r="CW65" s="52">
        <f>_xlfn.XLOOKUP(K65,[1]库销表!$F:$F,[1]库销表!$IE:$IE)</f>
        <v>0</v>
      </c>
      <c r="CX65" s="52">
        <f>_xlfn.XLOOKUP(K65,[1]库销表!$F:$F,[1]库销表!$IF:$IF)</f>
        <v>0</v>
      </c>
      <c r="CY65" s="105">
        <f>_xlfn.XLOOKUP(K65,[1]库销表!$F:$F,[1]库销表!$FL:$FL)</f>
        <v>0</v>
      </c>
      <c r="CZ65" s="52">
        <f>_xlfn.XLOOKUP(K65,数据更新表!E:E,数据更新表!F:F)</f>
        <v>7</v>
      </c>
      <c r="DA65" s="52" t="e">
        <v>#N/A</v>
      </c>
      <c r="DB65" s="52">
        <f>_xlfn.XLOOKUP(K65,数据更新表!E:E,数据更新表!G:G)</f>
        <v>1</v>
      </c>
      <c r="DC65" s="106">
        <f>_xlfn.XLOOKUP(L65,数据更新表!Z:Z,数据更新表!AH:AH)</f>
        <v>0</v>
      </c>
      <c r="DD65" s="49">
        <f>_xlfn.XLOOKUP(L65,数据更新表!Z:Z,数据更新表!AE:AE)</f>
        <v>0</v>
      </c>
      <c r="DE65" s="49">
        <f>_xlfn.XLOOKUP(L65,数据更新表!Z:Z,数据更新表!AF:AF)</f>
        <v>0</v>
      </c>
      <c r="DF65" s="49" t="e">
        <f>_xlfn.XLOOKUP(K65,数据更新表!Z:Z,数据更新表!AG:AG)</f>
        <v>#N/A</v>
      </c>
      <c r="DG65" s="49">
        <f>_xlfn.XLOOKUP(L65,数据更新表!Z:Z,数据更新表!AD:AD)</f>
        <v>0</v>
      </c>
      <c r="DH65" s="49">
        <f>_xlfn.XLOOKUP(L65,数据更新表!Z:Z,数据更新表!AA:AA)</f>
        <v>0</v>
      </c>
      <c r="DI65" s="49">
        <f>_xlfn.XLOOKUP(L65,数据更新表!Z:Z,数据更新表!AB:AB)</f>
        <v>0</v>
      </c>
      <c r="DJ65" s="49">
        <f>_xlfn.XLOOKUP(L65,数据更新表!Z:Z,数据更新表!AC:AC)</f>
        <v>0</v>
      </c>
      <c r="DK65" s="49">
        <f>_xlfn.XLOOKUP(L65,数据更新表!Z:Z,数据更新表!AI:AI)</f>
        <v>0</v>
      </c>
      <c r="DX65" s="98">
        <f>_xlfn.XLOOKUP(L65,数据更新表!J:J,数据更新表!L:L)</f>
        <v>0</v>
      </c>
      <c r="DY65" s="98">
        <f>_xlfn.XLOOKUP(L65,数据更新表!J:J,数据更新表!M:M)</f>
        <v>0</v>
      </c>
      <c r="DZ65" s="98">
        <v>65</v>
      </c>
      <c r="EA65" s="108">
        <f t="shared" si="21"/>
        <v>-1.14448147793687</v>
      </c>
      <c r="EB65" s="98">
        <f t="shared" si="7"/>
        <v>169.65</v>
      </c>
      <c r="EC65" s="109">
        <f t="shared" si="8"/>
        <v>-198.03256</v>
      </c>
      <c r="ED65" s="108" t="e">
        <f t="shared" si="9"/>
        <v>#DIV/0!</v>
      </c>
      <c r="EE65" s="110">
        <f t="shared" si="10"/>
        <v>3.38256</v>
      </c>
      <c r="EF65" s="98" t="str">
        <f t="shared" si="11"/>
        <v>否</v>
      </c>
      <c r="EG65" s="98">
        <f t="shared" si="12"/>
        <v>0</v>
      </c>
      <c r="EH65" s="98">
        <f t="shared" si="22"/>
        <v>0</v>
      </c>
      <c r="EI65" s="101">
        <f>IF(DX65&lt;=298,IF(DX65&lt;99,25,IF(DX65&lt;=149,30,IF(DX65&lt;=299,37,85))),IF(DX65&lt;=498,_xlfn.XLOOKUP(EQ65,运费表!A:A,运费表!C:C,"重量超限",-1),_xlfn.XLOOKUP(EQ65,运费表!A:A,运费表!D:D,"重量超限",-1)))</f>
        <v>25</v>
      </c>
      <c r="EJ65" s="101">
        <f t="shared" si="14"/>
        <v>0</v>
      </c>
      <c r="EK65" s="108" t="e">
        <v>#DIV/0!</v>
      </c>
      <c r="EL65" s="98">
        <v>0.18</v>
      </c>
      <c r="EM65" s="98">
        <v>6</v>
      </c>
      <c r="EN65" s="98">
        <v>6</v>
      </c>
      <c r="EO65" s="98">
        <v>15</v>
      </c>
      <c r="EP65" s="98">
        <f t="shared" si="25"/>
        <v>0.108</v>
      </c>
      <c r="EQ65" s="98">
        <f t="shared" si="24"/>
        <v>0.18</v>
      </c>
      <c r="ER65" s="98">
        <f t="shared" si="26"/>
        <v>0.00054</v>
      </c>
    </row>
    <row r="66" hidden="1" customHeight="1" spans="2:148">
      <c r="B66" s="118" t="s">
        <v>679</v>
      </c>
      <c r="C66" s="98">
        <v>29</v>
      </c>
      <c r="D66" s="98">
        <v>66</v>
      </c>
      <c r="E66" s="99">
        <v>45958</v>
      </c>
      <c r="G66" s="98" t="s">
        <v>356</v>
      </c>
      <c r="H66" s="116" t="s">
        <v>357</v>
      </c>
      <c r="J66" s="116" t="s">
        <v>680</v>
      </c>
      <c r="K66" s="116" t="s">
        <v>359</v>
      </c>
      <c r="M66" s="106" t="s">
        <v>183</v>
      </c>
      <c r="N66" s="52">
        <f>_xlfn.XLOOKUP(L66,数据更新表!J:J,数据更新表!K:K)</f>
        <v>0</v>
      </c>
      <c r="O66" s="52">
        <f>IFERROR(_xlfn.XLOOKUP(K66,数据更新表!A:A,数据更新表!B:B),"0")</f>
        <v>0</v>
      </c>
      <c r="P66" s="52">
        <f>_xlfn.XLOOKUP(K66,[1]库销表!$F:$F,[1]库销表!$L:$L)</f>
        <v>30</v>
      </c>
      <c r="Q66" s="103" t="e">
        <f t="shared" si="0"/>
        <v>#N/A</v>
      </c>
      <c r="S66" s="49" t="e">
        <f>_xlfn.XLOOKUP(K66,数据更新表!R:R,数据更新表!S:S)</f>
        <v>#N/A</v>
      </c>
      <c r="T66" s="49" t="e">
        <f>_xlfn.XLOOKUP(K66,数据更新表!V:V,数据更新表!W:W)</f>
        <v>#N/A</v>
      </c>
      <c r="V66" s="104" t="str">
        <f t="shared" si="1"/>
        <v>0</v>
      </c>
      <c r="W66" s="98" t="e">
        <f t="shared" si="2"/>
        <v>#N/A</v>
      </c>
      <c r="X66" s="98">
        <f t="shared" si="3"/>
        <v>30</v>
      </c>
      <c r="AF66" s="49">
        <f t="shared" si="4"/>
        <v>0</v>
      </c>
      <c r="BR66" s="52"/>
      <c r="BS66" s="52">
        <f>_xlfn.XLOOKUP(K66,[1]库销表!$F:$F,[1]库销表!$L:$L)</f>
        <v>30</v>
      </c>
      <c r="BT66" s="52">
        <f t="shared" si="5"/>
        <v>0</v>
      </c>
      <c r="BU66" s="49" cm="1">
        <f t="array" ref="BU66:CD66">_xlfn.XLOOKUP(K66,[1]库销表!$F:$F,[1]库销表!$HT:$IC)</f>
        <v>0</v>
      </c>
      <c r="BV66" s="49">
        <v>0</v>
      </c>
      <c r="BW66" s="49">
        <v>0</v>
      </c>
      <c r="BX66" s="49">
        <v>0</v>
      </c>
      <c r="BY66" s="49">
        <v>0</v>
      </c>
      <c r="BZ66" s="49">
        <v>0</v>
      </c>
      <c r="CA66" s="49">
        <v>0</v>
      </c>
      <c r="CB66" s="49">
        <v>0</v>
      </c>
      <c r="CC66" s="49">
        <v>0</v>
      </c>
      <c r="CD66" s="49">
        <v>0</v>
      </c>
      <c r="CW66" s="52">
        <f>_xlfn.XLOOKUP(K66,[1]库销表!$F:$F,[1]库销表!$IE:$IE)</f>
        <v>0</v>
      </c>
      <c r="CX66" s="52">
        <f>_xlfn.XLOOKUP(K66,[1]库销表!$F:$F,[1]库销表!$IF:$IF)</f>
        <v>0</v>
      </c>
      <c r="CY66" s="105">
        <f>_xlfn.XLOOKUP(K66,[1]库销表!$F:$F,[1]库销表!$FL:$FL)</f>
        <v>0</v>
      </c>
      <c r="CZ66" s="52" t="e">
        <f>_xlfn.XLOOKUP(K66,数据更新表!E:E,数据更新表!F:F)</f>
        <v>#N/A</v>
      </c>
      <c r="DA66" s="52" t="e">
        <v>#N/A</v>
      </c>
      <c r="DB66" s="52" t="e">
        <f>_xlfn.XLOOKUP(K66,数据更新表!E:E,数据更新表!G:G)</f>
        <v>#N/A</v>
      </c>
      <c r="DC66" s="106">
        <f>_xlfn.XLOOKUP(L66,数据更新表!Z:Z,数据更新表!AH:AH)</f>
        <v>0</v>
      </c>
      <c r="DD66" s="49">
        <f>_xlfn.XLOOKUP(L66,数据更新表!Z:Z,数据更新表!AE:AE)</f>
        <v>0</v>
      </c>
      <c r="DE66" s="49">
        <f>_xlfn.XLOOKUP(L66,数据更新表!Z:Z,数据更新表!AF:AF)</f>
        <v>0</v>
      </c>
      <c r="DF66" s="49" t="e">
        <f>_xlfn.XLOOKUP(K66,数据更新表!Z:Z,数据更新表!AG:AG)</f>
        <v>#N/A</v>
      </c>
      <c r="DG66" s="49">
        <f>_xlfn.XLOOKUP(L66,数据更新表!Z:Z,数据更新表!AD:AD)</f>
        <v>0</v>
      </c>
      <c r="DH66" s="49">
        <f>_xlfn.XLOOKUP(L66,数据更新表!Z:Z,数据更新表!AA:AA)</f>
        <v>0</v>
      </c>
      <c r="DI66" s="49">
        <f>_xlfn.XLOOKUP(L66,数据更新表!Z:Z,数据更新表!AB:AB)</f>
        <v>0</v>
      </c>
      <c r="DJ66" s="49">
        <f>_xlfn.XLOOKUP(L66,数据更新表!Z:Z,数据更新表!AC:AC)</f>
        <v>0</v>
      </c>
      <c r="DK66" s="49">
        <f>_xlfn.XLOOKUP(L66,数据更新表!Z:Z,数据更新表!AI:AI)</f>
        <v>0</v>
      </c>
      <c r="DX66" s="98">
        <f>_xlfn.XLOOKUP(L66,数据更新表!J:J,数据更新表!L:L)</f>
        <v>0</v>
      </c>
      <c r="DY66" s="98">
        <f>_xlfn.XLOOKUP(L66,数据更新表!J:J,数据更新表!M:M)</f>
        <v>0</v>
      </c>
      <c r="DZ66" s="122">
        <v>33.5</v>
      </c>
      <c r="EA66" s="108">
        <f t="shared" si="21"/>
        <v>-1.26329148051959</v>
      </c>
      <c r="EB66" s="98">
        <f t="shared" si="7"/>
        <v>87.435</v>
      </c>
      <c r="EC66" s="109">
        <f t="shared" si="8"/>
        <v>-119.9518</v>
      </c>
      <c r="ED66" s="108" t="e">
        <f t="shared" si="9"/>
        <v>#DIV/0!</v>
      </c>
      <c r="EE66" s="110">
        <f t="shared" si="10"/>
        <v>7.5168</v>
      </c>
      <c r="EF66" s="98" t="str">
        <f t="shared" si="11"/>
        <v>否</v>
      </c>
      <c r="EG66" s="98">
        <f t="shared" si="12"/>
        <v>0</v>
      </c>
      <c r="EH66" s="98">
        <f t="shared" si="22"/>
        <v>0</v>
      </c>
      <c r="EI66" s="101">
        <f>IF(DX66&lt;=298,IF(DX66&lt;99,25,IF(DX66&lt;=149,30,IF(DX66&lt;=299,37,85))),IF(DX66&lt;=498,_xlfn.XLOOKUP(EQ66,运费表!A:A,运费表!C:C,"重量超限",-1),_xlfn.XLOOKUP(EQ66,运费表!A:A,运费表!D:D,"重量超限",-1)))</f>
        <v>25</v>
      </c>
      <c r="EJ66" s="101">
        <f t="shared" si="14"/>
        <v>0</v>
      </c>
      <c r="EK66" s="115" t="e">
        <v>#DIV/0!</v>
      </c>
      <c r="EL66" s="124">
        <v>0.6</v>
      </c>
      <c r="EM66" s="125">
        <v>60</v>
      </c>
      <c r="EN66" s="125">
        <v>4</v>
      </c>
      <c r="EO66" s="125">
        <v>5</v>
      </c>
      <c r="EP66" s="98">
        <f t="shared" si="25"/>
        <v>0.24</v>
      </c>
      <c r="EQ66" s="98">
        <f t="shared" si="24"/>
        <v>0.6</v>
      </c>
      <c r="ER66" s="98">
        <f t="shared" si="26"/>
        <v>0.0012</v>
      </c>
    </row>
    <row r="67" hidden="1" customHeight="1" spans="2:148">
      <c r="B67" s="118" t="s">
        <v>681</v>
      </c>
      <c r="C67" s="98">
        <v>21</v>
      </c>
      <c r="D67" s="98">
        <v>92</v>
      </c>
      <c r="E67" s="99">
        <v>45958</v>
      </c>
      <c r="G67" s="98" t="s">
        <v>356</v>
      </c>
      <c r="H67" s="116" t="s">
        <v>361</v>
      </c>
      <c r="J67" s="116" t="s">
        <v>362</v>
      </c>
      <c r="K67" s="116" t="s">
        <v>363</v>
      </c>
      <c r="M67" s="106" t="s">
        <v>183</v>
      </c>
      <c r="N67" s="52">
        <f>_xlfn.XLOOKUP(L67,数据更新表!J:J,数据更新表!K:K)</f>
        <v>0</v>
      </c>
      <c r="O67" s="52">
        <f>IFERROR(_xlfn.XLOOKUP(K67,数据更新表!A:A,数据更新表!B:B),"0")</f>
        <v>0</v>
      </c>
      <c r="P67" s="52">
        <f>_xlfn.XLOOKUP(K67,[1]库销表!$F:$F,[1]库销表!$L:$L)</f>
        <v>30</v>
      </c>
      <c r="Q67" s="103" t="e">
        <f t="shared" ref="Q67:Q89" si="27">X67/W67</f>
        <v>#N/A</v>
      </c>
      <c r="S67" s="49" t="e">
        <f>_xlfn.XLOOKUP(K67,数据更新表!R:R,数据更新表!S:S)</f>
        <v>#N/A</v>
      </c>
      <c r="T67" s="49" t="e">
        <f>_xlfn.XLOOKUP(K67,数据更新表!V:V,数据更新表!W:W)</f>
        <v>#N/A</v>
      </c>
      <c r="V67" s="104" t="str">
        <f t="shared" ref="V67:V89" si="28">IFERROR(7*O67/CZ67,"0")</f>
        <v>0</v>
      </c>
      <c r="W67" s="98" t="e">
        <f t="shared" ref="W67:W89" si="29">CZ67/7</f>
        <v>#N/A</v>
      </c>
      <c r="X67" s="98">
        <f t="shared" ref="X67:X89" si="30">O67+P67+SUM(AR67:AT67)</f>
        <v>30</v>
      </c>
      <c r="AF67" s="49">
        <f t="shared" ref="AF67:AF89" si="31">SUM(AG67:BR67)</f>
        <v>0</v>
      </c>
      <c r="BR67" s="52"/>
      <c r="BS67" s="52">
        <f>_xlfn.XLOOKUP(K67,[1]库销表!$F:$F,[1]库销表!$L:$L)</f>
        <v>30</v>
      </c>
      <c r="BT67" s="52">
        <f t="shared" ref="BT67:BT89" si="32">SUM(BU67:CV67)</f>
        <v>0</v>
      </c>
      <c r="BU67" s="49" cm="1">
        <f t="array" ref="BU67:CD67">_xlfn.XLOOKUP(K67,[1]库销表!$F:$F,[1]库销表!$HT:$IC)</f>
        <v>0</v>
      </c>
      <c r="BV67" s="49">
        <v>0</v>
      </c>
      <c r="BW67" s="49">
        <v>0</v>
      </c>
      <c r="BX67" s="49">
        <v>0</v>
      </c>
      <c r="BY67" s="49">
        <v>0</v>
      </c>
      <c r="BZ67" s="49">
        <v>0</v>
      </c>
      <c r="CA67" s="49">
        <v>0</v>
      </c>
      <c r="CB67" s="49">
        <v>0</v>
      </c>
      <c r="CC67" s="49">
        <v>0</v>
      </c>
      <c r="CD67" s="49">
        <v>0</v>
      </c>
      <c r="CW67" s="52">
        <f>_xlfn.XLOOKUP(K67,[1]库销表!$F:$F,[1]库销表!$IE:$IE)</f>
        <v>0</v>
      </c>
      <c r="CX67" s="52">
        <f>_xlfn.XLOOKUP(K67,[1]库销表!$F:$F,[1]库销表!$IF:$IF)</f>
        <v>0</v>
      </c>
      <c r="CY67" s="105">
        <f>_xlfn.XLOOKUP(K67,[1]库销表!$F:$F,[1]库销表!$FL:$FL)</f>
        <v>0</v>
      </c>
      <c r="CZ67" s="52" t="e">
        <f>_xlfn.XLOOKUP(K67,数据更新表!E:E,数据更新表!F:F)</f>
        <v>#N/A</v>
      </c>
      <c r="DA67" s="52" t="e">
        <v>#N/A</v>
      </c>
      <c r="DB67" s="52" t="e">
        <f>_xlfn.XLOOKUP(K67,数据更新表!E:E,数据更新表!G:G)</f>
        <v>#N/A</v>
      </c>
      <c r="DC67" s="106">
        <f>_xlfn.XLOOKUP(L67,数据更新表!Z:Z,数据更新表!AH:AH)</f>
        <v>0</v>
      </c>
      <c r="DD67" s="49">
        <f>_xlfn.XLOOKUP(L67,数据更新表!Z:Z,数据更新表!AE:AE)</f>
        <v>0</v>
      </c>
      <c r="DE67" s="49">
        <f>_xlfn.XLOOKUP(L67,数据更新表!Z:Z,数据更新表!AF:AF)</f>
        <v>0</v>
      </c>
      <c r="DF67" s="49" t="e">
        <f>_xlfn.XLOOKUP(K67,数据更新表!Z:Z,数据更新表!AG:AG)</f>
        <v>#N/A</v>
      </c>
      <c r="DG67" s="49">
        <f>_xlfn.XLOOKUP(L67,数据更新表!Z:Z,数据更新表!AD:AD)</f>
        <v>0</v>
      </c>
      <c r="DH67" s="49">
        <f>_xlfn.XLOOKUP(L67,数据更新表!Z:Z,数据更新表!AA:AA)</f>
        <v>0</v>
      </c>
      <c r="DI67" s="49">
        <f>_xlfn.XLOOKUP(L67,数据更新表!Z:Z,数据更新表!AB:AB)</f>
        <v>0</v>
      </c>
      <c r="DJ67" s="49">
        <f>_xlfn.XLOOKUP(L67,数据更新表!Z:Z,数据更新表!AC:AC)</f>
        <v>0</v>
      </c>
      <c r="DK67" s="49">
        <f>_xlfn.XLOOKUP(L67,数据更新表!Z:Z,数据更新表!AI:AI)</f>
        <v>0</v>
      </c>
      <c r="DX67" s="98">
        <f>_xlfn.XLOOKUP(L67,数据更新表!J:J,数据更新表!L:L)</f>
        <v>0</v>
      </c>
      <c r="DY67" s="98">
        <f>_xlfn.XLOOKUP(L67,数据更新表!J:J,数据更新表!M:M)</f>
        <v>0</v>
      </c>
      <c r="DZ67" s="122">
        <v>27.5</v>
      </c>
      <c r="EA67" s="108">
        <f t="shared" si="21"/>
        <v>-1.31529111459193</v>
      </c>
      <c r="EB67" s="98">
        <f t="shared" ref="EB67:EB69" si="33">DZ67*$EB$1</f>
        <v>71.775</v>
      </c>
      <c r="EC67" s="109">
        <f t="shared" ref="EC67:EC89" si="34">DX67-EB67-EE67-EH67-EG67-EI67-EJ67</f>
        <v>-104.2918</v>
      </c>
      <c r="ED67" s="108" t="e">
        <f t="shared" ref="ED67:ED69" si="35">EC67/DX67</f>
        <v>#DIV/0!</v>
      </c>
      <c r="EE67" s="110">
        <f t="shared" ref="EE67:EE89" si="36">ER67*2400*$EB$1</f>
        <v>7.5168</v>
      </c>
      <c r="EF67" s="98" t="str">
        <f t="shared" ref="EF67:EF69" si="37">IF(DX67&gt;299,"是","否")</f>
        <v>否</v>
      </c>
      <c r="EG67" s="98">
        <f t="shared" ref="EG67:EG69" si="38">DX67*0.05</f>
        <v>0</v>
      </c>
      <c r="EH67" s="98">
        <f t="shared" si="22"/>
        <v>0</v>
      </c>
      <c r="EI67" s="101">
        <f>IF(DX67&lt;=298,IF(DX67&lt;99,25,IF(DX67&lt;=149,30,IF(DX67&lt;=299,37,85))),IF(DX67&lt;=498,_xlfn.XLOOKUP(EQ67,运费表!A:A,运费表!C:C,"重量超限",-1),_xlfn.XLOOKUP(EQ67,运费表!A:A,运费表!D:D,"重量超限",-1)))</f>
        <v>25</v>
      </c>
      <c r="EJ67" s="101">
        <f t="shared" ref="EJ67:EJ89" si="39">DX67*0.105</f>
        <v>0</v>
      </c>
      <c r="EK67" s="115" t="e">
        <v>#DIV/0!</v>
      </c>
      <c r="EL67" s="124">
        <v>0.6</v>
      </c>
      <c r="EM67" s="125">
        <v>60</v>
      </c>
      <c r="EN67" s="125">
        <v>4</v>
      </c>
      <c r="EO67" s="125">
        <v>5</v>
      </c>
      <c r="EP67" s="98">
        <f t="shared" si="25"/>
        <v>0.24</v>
      </c>
      <c r="EQ67" s="98">
        <f t="shared" si="24"/>
        <v>0.6</v>
      </c>
      <c r="ER67" s="98">
        <f t="shared" si="26"/>
        <v>0.0012</v>
      </c>
    </row>
    <row r="68" hidden="1" customHeight="1" spans="2:148">
      <c r="B68" s="118" t="s">
        <v>364</v>
      </c>
      <c r="C68" s="98">
        <v>9</v>
      </c>
      <c r="D68" s="98" t="s">
        <v>682</v>
      </c>
      <c r="E68" s="99">
        <v>45958</v>
      </c>
      <c r="G68" s="98" t="s">
        <v>356</v>
      </c>
      <c r="H68" s="116" t="s">
        <v>365</v>
      </c>
      <c r="J68" s="116" t="s">
        <v>366</v>
      </c>
      <c r="K68" s="116" t="s">
        <v>367</v>
      </c>
      <c r="M68" s="106" t="s">
        <v>183</v>
      </c>
      <c r="N68" s="52">
        <f>_xlfn.XLOOKUP(L68,数据更新表!J:J,数据更新表!K:K)</f>
        <v>0</v>
      </c>
      <c r="O68" s="52">
        <f>IFERROR(_xlfn.XLOOKUP(K68,数据更新表!A:A,数据更新表!B:B),"0")</f>
        <v>0</v>
      </c>
      <c r="P68" s="52">
        <f>_xlfn.XLOOKUP(K68,[1]库销表!$F:$F,[1]库销表!$L:$L)</f>
        <v>30</v>
      </c>
      <c r="Q68" s="103" t="e">
        <f t="shared" si="27"/>
        <v>#N/A</v>
      </c>
      <c r="S68" s="49" t="e">
        <f>_xlfn.XLOOKUP(K68,数据更新表!R:R,数据更新表!S:S)</f>
        <v>#N/A</v>
      </c>
      <c r="T68" s="49" t="e">
        <f>_xlfn.XLOOKUP(K68,数据更新表!V:V,数据更新表!W:W)</f>
        <v>#N/A</v>
      </c>
      <c r="V68" s="104" t="str">
        <f t="shared" si="28"/>
        <v>0</v>
      </c>
      <c r="W68" s="98" t="e">
        <f t="shared" si="29"/>
        <v>#N/A</v>
      </c>
      <c r="X68" s="98">
        <f t="shared" si="30"/>
        <v>30</v>
      </c>
      <c r="AF68" s="49">
        <f t="shared" si="31"/>
        <v>0</v>
      </c>
      <c r="BR68" s="52"/>
      <c r="BS68" s="52">
        <f>_xlfn.XLOOKUP(K68,[1]库销表!$F:$F,[1]库销表!$L:$L)</f>
        <v>30</v>
      </c>
      <c r="BT68" s="52">
        <f t="shared" si="32"/>
        <v>0</v>
      </c>
      <c r="BU68" s="49" cm="1">
        <f t="array" ref="BU68:CD68">_xlfn.XLOOKUP(K68,[1]库销表!$F:$F,[1]库销表!$HT:$IC)</f>
        <v>0</v>
      </c>
      <c r="BV68" s="49">
        <v>0</v>
      </c>
      <c r="BW68" s="49">
        <v>0</v>
      </c>
      <c r="BX68" s="49">
        <v>0</v>
      </c>
      <c r="BY68" s="49">
        <v>0</v>
      </c>
      <c r="BZ68" s="49">
        <v>0</v>
      </c>
      <c r="CA68" s="49">
        <v>0</v>
      </c>
      <c r="CB68" s="49">
        <v>0</v>
      </c>
      <c r="CC68" s="49">
        <v>0</v>
      </c>
      <c r="CD68" s="49">
        <v>0</v>
      </c>
      <c r="CW68" s="52">
        <f>_xlfn.XLOOKUP(K68,[1]库销表!$F:$F,[1]库销表!$IE:$IE)</f>
        <v>0</v>
      </c>
      <c r="CX68" s="52">
        <f>_xlfn.XLOOKUP(K68,[1]库销表!$F:$F,[1]库销表!$IF:$IF)</f>
        <v>0</v>
      </c>
      <c r="CY68" s="105">
        <f>_xlfn.XLOOKUP(K68,[1]库销表!$F:$F,[1]库销表!$FL:$FL)</f>
        <v>0</v>
      </c>
      <c r="CZ68" s="52" t="e">
        <f>_xlfn.XLOOKUP(K68,数据更新表!E:E,数据更新表!F:F)</f>
        <v>#N/A</v>
      </c>
      <c r="DA68" s="52" t="e">
        <v>#N/A</v>
      </c>
      <c r="DB68" s="52" t="e">
        <f>_xlfn.XLOOKUP(K68,数据更新表!E:E,数据更新表!G:G)</f>
        <v>#N/A</v>
      </c>
      <c r="DC68" s="106">
        <f>_xlfn.XLOOKUP(L68,数据更新表!Z:Z,数据更新表!AH:AH)</f>
        <v>0</v>
      </c>
      <c r="DD68" s="49">
        <f>_xlfn.XLOOKUP(L68,数据更新表!Z:Z,数据更新表!AE:AE)</f>
        <v>0</v>
      </c>
      <c r="DE68" s="49">
        <f>_xlfn.XLOOKUP(L68,数据更新表!Z:Z,数据更新表!AF:AF)</f>
        <v>0</v>
      </c>
      <c r="DF68" s="49" t="e">
        <f>_xlfn.XLOOKUP(K68,数据更新表!Z:Z,数据更新表!AG:AG)</f>
        <v>#N/A</v>
      </c>
      <c r="DG68" s="49">
        <f>_xlfn.XLOOKUP(L68,数据更新表!Z:Z,数据更新表!AD:AD)</f>
        <v>0</v>
      </c>
      <c r="DH68" s="49">
        <f>_xlfn.XLOOKUP(L68,数据更新表!Z:Z,数据更新表!AA:AA)</f>
        <v>0</v>
      </c>
      <c r="DI68" s="49">
        <f>_xlfn.XLOOKUP(L68,数据更新表!Z:Z,数据更新表!AB:AB)</f>
        <v>0</v>
      </c>
      <c r="DJ68" s="49">
        <f>_xlfn.XLOOKUP(L68,数据更新表!Z:Z,数据更新表!AC:AC)</f>
        <v>0</v>
      </c>
      <c r="DK68" s="49">
        <f>_xlfn.XLOOKUP(L68,数据更新表!Z:Z,数据更新表!AI:AI)</f>
        <v>0</v>
      </c>
      <c r="DX68" s="98">
        <f>_xlfn.XLOOKUP(L68,数据更新表!J:J,数据更新表!L:L)</f>
        <v>0</v>
      </c>
      <c r="DY68" s="98">
        <f>_xlfn.XLOOKUP(L68,数据更新表!J:J,数据更新表!M:M)</f>
        <v>0</v>
      </c>
      <c r="DZ68" s="122">
        <v>23.5</v>
      </c>
      <c r="EA68" s="108">
        <f t="shared" si="21"/>
        <v>-1.36309871346864</v>
      </c>
      <c r="EB68" s="98">
        <f t="shared" si="33"/>
        <v>61.335</v>
      </c>
      <c r="EC68" s="109">
        <f t="shared" si="34"/>
        <v>-93.8518</v>
      </c>
      <c r="ED68" s="108" t="e">
        <f t="shared" si="35"/>
        <v>#DIV/0!</v>
      </c>
      <c r="EE68" s="110">
        <f t="shared" si="36"/>
        <v>7.5168</v>
      </c>
      <c r="EF68" s="98" t="str">
        <f t="shared" si="37"/>
        <v>否</v>
      </c>
      <c r="EG68" s="98">
        <f t="shared" si="38"/>
        <v>0</v>
      </c>
      <c r="EH68" s="98">
        <f t="shared" si="22"/>
        <v>0</v>
      </c>
      <c r="EI68" s="101">
        <f>IF(DX68&lt;=298,IF(DX68&lt;99,25,IF(DX68&lt;=149,30,IF(DX68&lt;=299,37,85))),IF(DX68&lt;=498,_xlfn.XLOOKUP(EQ68,运费表!A:A,运费表!C:C,"重量超限",-1),_xlfn.XLOOKUP(EQ68,运费表!A:A,运费表!D:D,"重量超限",-1)))</f>
        <v>25</v>
      </c>
      <c r="EJ68" s="101">
        <f t="shared" si="39"/>
        <v>0</v>
      </c>
      <c r="EK68" s="115" t="e">
        <v>#DIV/0!</v>
      </c>
      <c r="EL68" s="124">
        <v>0.6</v>
      </c>
      <c r="EM68" s="125">
        <v>60</v>
      </c>
      <c r="EN68" s="125">
        <v>4</v>
      </c>
      <c r="EO68" s="125">
        <v>5</v>
      </c>
      <c r="EP68" s="98">
        <f t="shared" si="25"/>
        <v>0.24</v>
      </c>
      <c r="EQ68" s="98">
        <f t="shared" si="24"/>
        <v>0.6</v>
      </c>
      <c r="ER68" s="98">
        <f t="shared" si="26"/>
        <v>0.0012</v>
      </c>
    </row>
    <row r="69" hidden="1" customHeight="1" spans="2:148">
      <c r="B69" s="118" t="s">
        <v>368</v>
      </c>
      <c r="C69" s="98">
        <v>11</v>
      </c>
      <c r="D69" s="98">
        <v>57</v>
      </c>
      <c r="E69" s="99">
        <v>45958</v>
      </c>
      <c r="G69" s="98" t="s">
        <v>356</v>
      </c>
      <c r="H69" s="116" t="s">
        <v>369</v>
      </c>
      <c r="J69" s="116" t="s">
        <v>370</v>
      </c>
      <c r="K69" s="116" t="s">
        <v>371</v>
      </c>
      <c r="M69" s="106" t="s">
        <v>183</v>
      </c>
      <c r="N69" s="52">
        <f>_xlfn.XLOOKUP(L69,数据更新表!J:J,数据更新表!K:K)</f>
        <v>0</v>
      </c>
      <c r="O69" s="52">
        <f>IFERROR(_xlfn.XLOOKUP(K69,数据更新表!A:A,数据更新表!B:B),"0")</f>
        <v>0</v>
      </c>
      <c r="P69" s="52">
        <f>_xlfn.XLOOKUP(K69,[1]库销表!$F:$F,[1]库销表!$L:$L)</f>
        <v>30</v>
      </c>
      <c r="Q69" s="103" t="e">
        <f t="shared" si="27"/>
        <v>#N/A</v>
      </c>
      <c r="S69" s="49" t="e">
        <f>_xlfn.XLOOKUP(K69,数据更新表!R:R,数据更新表!S:S)</f>
        <v>#N/A</v>
      </c>
      <c r="T69" s="49" t="e">
        <f>_xlfn.XLOOKUP(K69,数据更新表!V:V,数据更新表!W:W)</f>
        <v>#N/A</v>
      </c>
      <c r="V69" s="104" t="str">
        <f t="shared" si="28"/>
        <v>0</v>
      </c>
      <c r="W69" s="98" t="e">
        <f t="shared" si="29"/>
        <v>#N/A</v>
      </c>
      <c r="X69" s="98">
        <f t="shared" si="30"/>
        <v>30</v>
      </c>
      <c r="AF69" s="49">
        <f t="shared" si="31"/>
        <v>0</v>
      </c>
      <c r="BR69" s="52"/>
      <c r="BS69" s="52">
        <f>_xlfn.XLOOKUP(K69,[1]库销表!$F:$F,[1]库销表!$L:$L)</f>
        <v>30</v>
      </c>
      <c r="BT69" s="52">
        <f t="shared" si="32"/>
        <v>0</v>
      </c>
      <c r="BU69" s="49" cm="1">
        <f t="array" ref="BU69:CD69">_xlfn.XLOOKUP(K69,[1]库销表!$F:$F,[1]库销表!$HT:$IC)</f>
        <v>0</v>
      </c>
      <c r="BV69" s="49">
        <v>0</v>
      </c>
      <c r="BW69" s="49">
        <v>0</v>
      </c>
      <c r="BX69" s="49">
        <v>0</v>
      </c>
      <c r="BY69" s="49">
        <v>0</v>
      </c>
      <c r="BZ69" s="49">
        <v>0</v>
      </c>
      <c r="CA69" s="49">
        <v>0</v>
      </c>
      <c r="CB69" s="49">
        <v>0</v>
      </c>
      <c r="CC69" s="49">
        <v>0</v>
      </c>
      <c r="CD69" s="49">
        <v>0</v>
      </c>
      <c r="CW69" s="52">
        <f>_xlfn.XLOOKUP(K69,[1]库销表!$F:$F,[1]库销表!$IE:$IE)</f>
        <v>0</v>
      </c>
      <c r="CX69" s="52">
        <f>_xlfn.XLOOKUP(K69,[1]库销表!$F:$F,[1]库销表!$IF:$IF)</f>
        <v>0</v>
      </c>
      <c r="CY69" s="105">
        <f>_xlfn.XLOOKUP(K69,[1]库销表!$F:$F,[1]库销表!$FL:$FL)</f>
        <v>0</v>
      </c>
      <c r="CZ69" s="52" t="e">
        <f>_xlfn.XLOOKUP(K69,数据更新表!E:E,数据更新表!F:F)</f>
        <v>#N/A</v>
      </c>
      <c r="DA69" s="52" t="e">
        <v>#N/A</v>
      </c>
      <c r="DB69" s="52" t="e">
        <f>_xlfn.XLOOKUP(K69,数据更新表!E:E,数据更新表!G:G)</f>
        <v>#N/A</v>
      </c>
      <c r="DC69" s="106">
        <f>_xlfn.XLOOKUP(L69,数据更新表!Z:Z,数据更新表!AH:AH)</f>
        <v>0</v>
      </c>
      <c r="DD69" s="49">
        <f>_xlfn.XLOOKUP(L69,数据更新表!Z:Z,数据更新表!AE:AE)</f>
        <v>0</v>
      </c>
      <c r="DE69" s="49">
        <f>_xlfn.XLOOKUP(L69,数据更新表!Z:Z,数据更新表!AF:AF)</f>
        <v>0</v>
      </c>
      <c r="DF69" s="49" t="e">
        <f>_xlfn.XLOOKUP(K69,数据更新表!Z:Z,数据更新表!AG:AG)</f>
        <v>#N/A</v>
      </c>
      <c r="DG69" s="49">
        <f>_xlfn.XLOOKUP(L69,数据更新表!Z:Z,数据更新表!AD:AD)</f>
        <v>0</v>
      </c>
      <c r="DH69" s="49">
        <f>_xlfn.XLOOKUP(L69,数据更新表!Z:Z,数据更新表!AA:AA)</f>
        <v>0</v>
      </c>
      <c r="DI69" s="49">
        <f>_xlfn.XLOOKUP(L69,数据更新表!Z:Z,数据更新表!AB:AB)</f>
        <v>0</v>
      </c>
      <c r="DJ69" s="49">
        <f>_xlfn.XLOOKUP(L69,数据更新表!Z:Z,数据更新表!AC:AC)</f>
        <v>0</v>
      </c>
      <c r="DK69" s="49">
        <f>_xlfn.XLOOKUP(L69,数据更新表!Z:Z,数据更新表!AI:AI)</f>
        <v>0</v>
      </c>
      <c r="DX69" s="98">
        <f>_xlfn.XLOOKUP(L69,数据更新表!J:J,数据更新表!L:L)</f>
        <v>0</v>
      </c>
      <c r="DY69" s="98">
        <f>_xlfn.XLOOKUP(L69,数据更新表!J:J,数据更新表!M:M)</f>
        <v>0</v>
      </c>
      <c r="DZ69" s="122">
        <v>27.5</v>
      </c>
      <c r="EA69" s="108">
        <f t="shared" si="21"/>
        <v>-1.31529111459193</v>
      </c>
      <c r="EB69" s="98">
        <f t="shared" si="33"/>
        <v>71.775</v>
      </c>
      <c r="EC69" s="109">
        <f t="shared" si="34"/>
        <v>-104.2918</v>
      </c>
      <c r="ED69" s="108" t="e">
        <f t="shared" si="35"/>
        <v>#DIV/0!</v>
      </c>
      <c r="EE69" s="110">
        <f t="shared" si="36"/>
        <v>7.5168</v>
      </c>
      <c r="EF69" s="98" t="str">
        <f t="shared" si="37"/>
        <v>否</v>
      </c>
      <c r="EG69" s="98">
        <f t="shared" si="38"/>
        <v>0</v>
      </c>
      <c r="EH69" s="98">
        <f t="shared" si="22"/>
        <v>0</v>
      </c>
      <c r="EI69" s="101">
        <f>IF(DX69&lt;=298,IF(DX69&lt;99,25,IF(DX69&lt;=149,30,IF(DX69&lt;=299,37,85))),IF(DX69&lt;=498,_xlfn.XLOOKUP(EQ69,运费表!A:A,运费表!C:C,"重量超限",-1),_xlfn.XLOOKUP(EQ69,运费表!A:A,运费表!D:D,"重量超限",-1)))</f>
        <v>25</v>
      </c>
      <c r="EJ69" s="101">
        <f t="shared" si="39"/>
        <v>0</v>
      </c>
      <c r="EK69" s="115" t="e">
        <v>#DIV/0!</v>
      </c>
      <c r="EL69" s="124">
        <v>0.6</v>
      </c>
      <c r="EM69" s="125">
        <v>60</v>
      </c>
      <c r="EN69" s="125">
        <v>4</v>
      </c>
      <c r="EO69" s="125">
        <v>5</v>
      </c>
      <c r="EP69" s="98">
        <f t="shared" si="25"/>
        <v>0.24</v>
      </c>
      <c r="EQ69" s="98">
        <f t="shared" si="24"/>
        <v>0.6</v>
      </c>
      <c r="ER69" s="98">
        <f t="shared" si="26"/>
        <v>0.0012</v>
      </c>
    </row>
    <row r="70" hidden="1" customHeight="1" spans="2:148">
      <c r="G70" s="98" t="s">
        <v>373</v>
      </c>
      <c r="H70" s="116" t="s">
        <v>374</v>
      </c>
      <c r="J70" s="116"/>
      <c r="K70" s="116" t="s">
        <v>376</v>
      </c>
      <c r="M70" s="106" t="s">
        <v>183</v>
      </c>
      <c r="N70" s="52">
        <f>_xlfn.XLOOKUP(L70,数据更新表!J:J,数据更新表!K:K)</f>
        <v>0</v>
      </c>
      <c r="O70" s="52" t="str">
        <f>IFERROR(_xlfn.XLOOKUP(K70,数据更新表!A:A,数据更新表!B:B),"0")</f>
        <v>0</v>
      </c>
      <c r="P70" s="52">
        <f>_xlfn.XLOOKUP(K70,[1]库销表!$F:$F,[1]库销表!$L:$L)</f>
        <v>0</v>
      </c>
      <c r="Q70" s="103" t="e">
        <f t="shared" si="27"/>
        <v>#N/A</v>
      </c>
      <c r="S70" s="49" t="e">
        <f>_xlfn.XLOOKUP(K70,数据更新表!R:R,数据更新表!S:S)</f>
        <v>#N/A</v>
      </c>
      <c r="T70" s="49" t="e">
        <f>_xlfn.XLOOKUP(K70,数据更新表!V:V,数据更新表!W:W)</f>
        <v>#N/A</v>
      </c>
      <c r="V70" s="104" t="str">
        <f t="shared" si="28"/>
        <v>0</v>
      </c>
      <c r="W70" s="98" t="e">
        <f t="shared" si="29"/>
        <v>#N/A</v>
      </c>
      <c r="X70" s="98">
        <f t="shared" si="30"/>
        <v>0</v>
      </c>
      <c r="AF70" s="49">
        <f t="shared" si="31"/>
        <v>0</v>
      </c>
      <c r="BS70" s="52">
        <f>_xlfn.XLOOKUP(K70,[1]库销表!$F:$F,[1]库销表!$L:$L)</f>
        <v>0</v>
      </c>
      <c r="BT70" s="52">
        <f t="shared" si="32"/>
        <v>0</v>
      </c>
      <c r="BU70" s="49" cm="1">
        <f t="array" ref="BU70:CD70">_xlfn.XLOOKUP(K70,[1]库销表!$F:$F,[1]库销表!$HT:$IC)</f>
        <v>0</v>
      </c>
      <c r="BV70" s="49">
        <v>0</v>
      </c>
      <c r="BW70" s="49">
        <v>0</v>
      </c>
      <c r="BX70" s="49">
        <v>0</v>
      </c>
      <c r="BY70" s="49">
        <v>0</v>
      </c>
      <c r="BZ70" s="49">
        <v>0</v>
      </c>
      <c r="CA70" s="49">
        <v>0</v>
      </c>
      <c r="CB70" s="49">
        <v>0</v>
      </c>
      <c r="CC70" s="49">
        <v>0</v>
      </c>
      <c r="CD70" s="49">
        <v>0</v>
      </c>
      <c r="CW70" s="52">
        <f>_xlfn.XLOOKUP(K70,[1]库销表!$F:$F,[1]库销表!$IE:$IE)</f>
        <v>0</v>
      </c>
      <c r="CX70" s="52">
        <f>_xlfn.XLOOKUP(K70,[1]库销表!$F:$F,[1]库销表!$IF:$IF)</f>
        <v>0</v>
      </c>
      <c r="CY70" s="105">
        <f>_xlfn.XLOOKUP(K70,[1]库销表!$F:$F,[1]库销表!$FL:$FL)</f>
        <v>0</v>
      </c>
      <c r="CZ70" s="52" t="e">
        <f>_xlfn.XLOOKUP(K70,数据更新表!E:E,数据更新表!F:F)</f>
        <v>#N/A</v>
      </c>
      <c r="DA70" s="52" t="e">
        <v>#N/A</v>
      </c>
      <c r="DB70" s="52" t="e">
        <f>_xlfn.XLOOKUP(K70,数据更新表!E:E,数据更新表!G:G)</f>
        <v>#N/A</v>
      </c>
      <c r="DC70" s="106">
        <f>_xlfn.XLOOKUP(L70,数据更新表!Z:Z,数据更新表!AH:AH)</f>
        <v>0</v>
      </c>
      <c r="DD70" s="49">
        <f>_xlfn.XLOOKUP(L70,数据更新表!Z:Z,数据更新表!AE:AE)</f>
        <v>0</v>
      </c>
      <c r="DE70" s="49">
        <f>_xlfn.XLOOKUP(L70,数据更新表!Z:Z,数据更新表!AF:AF)</f>
        <v>0</v>
      </c>
      <c r="DF70" s="49" t="e">
        <f>_xlfn.XLOOKUP(K70,数据更新表!Z:Z,数据更新表!AG:AG)</f>
        <v>#N/A</v>
      </c>
      <c r="DG70" s="49">
        <f>_xlfn.XLOOKUP(L70,数据更新表!Z:Z,数据更新表!AD:AD)</f>
        <v>0</v>
      </c>
      <c r="DH70" s="49">
        <f>_xlfn.XLOOKUP(L70,数据更新表!Z:Z,数据更新表!AA:AA)</f>
        <v>0</v>
      </c>
      <c r="DI70" s="49">
        <f>_xlfn.XLOOKUP(L70,数据更新表!Z:Z,数据更新表!AB:AB)</f>
        <v>0</v>
      </c>
      <c r="DJ70" s="49">
        <f>_xlfn.XLOOKUP(L70,数据更新表!Z:Z,数据更新表!AC:AC)</f>
        <v>0</v>
      </c>
      <c r="DK70" s="49">
        <f>_xlfn.XLOOKUP(L70,数据更新表!Z:Z,数据更新表!AI:AI)</f>
        <v>0</v>
      </c>
      <c r="DX70" s="98">
        <f>_xlfn.XLOOKUP(L70,数据更新表!J:J,数据更新表!L:L)</f>
        <v>0</v>
      </c>
      <c r="DY70" s="98">
        <f>_xlfn.XLOOKUP(L70,数据更新表!J:J,数据更新表!M:M)</f>
        <v>0</v>
      </c>
      <c r="EC70" s="109">
        <f t="shared" si="34"/>
        <v>0</v>
      </c>
      <c r="EE70" s="110">
        <f t="shared" si="36"/>
        <v>0</v>
      </c>
      <c r="EJ70" s="101">
        <f t="shared" si="39"/>
        <v>0</v>
      </c>
    </row>
    <row r="71" hidden="1" customHeight="1" spans="2:148">
      <c r="G71" s="98" t="s">
        <v>373</v>
      </c>
      <c r="H71" s="116" t="s">
        <v>379</v>
      </c>
      <c r="J71" s="116"/>
      <c r="K71" s="116" t="s">
        <v>381</v>
      </c>
      <c r="M71" s="106" t="s">
        <v>183</v>
      </c>
      <c r="N71" s="52">
        <f>_xlfn.XLOOKUP(L71,数据更新表!J:J,数据更新表!K:K)</f>
        <v>0</v>
      </c>
      <c r="O71" s="52" t="str">
        <f>IFERROR(_xlfn.XLOOKUP(K71,数据更新表!A:A,数据更新表!B:B),"0")</f>
        <v>0</v>
      </c>
      <c r="P71" s="52">
        <f>_xlfn.XLOOKUP(K71,[1]库销表!$F:$F,[1]库销表!$L:$L)</f>
        <v>0</v>
      </c>
      <c r="Q71" s="103" t="e">
        <f t="shared" si="27"/>
        <v>#N/A</v>
      </c>
      <c r="S71" s="49" t="e">
        <f>_xlfn.XLOOKUP(K71,数据更新表!R:R,数据更新表!S:S)</f>
        <v>#N/A</v>
      </c>
      <c r="T71" s="49" t="e">
        <f>_xlfn.XLOOKUP(K71,数据更新表!V:V,数据更新表!W:W)</f>
        <v>#N/A</v>
      </c>
      <c r="V71" s="104" t="str">
        <f t="shared" si="28"/>
        <v>0</v>
      </c>
      <c r="W71" s="98" t="e">
        <f t="shared" si="29"/>
        <v>#N/A</v>
      </c>
      <c r="X71" s="98">
        <f t="shared" si="30"/>
        <v>0</v>
      </c>
      <c r="AF71" s="49">
        <f t="shared" si="31"/>
        <v>0</v>
      </c>
      <c r="BS71" s="52">
        <f>_xlfn.XLOOKUP(K71,[1]库销表!$F:$F,[1]库销表!$L:$L)</f>
        <v>0</v>
      </c>
      <c r="BT71" s="52">
        <f t="shared" si="32"/>
        <v>0</v>
      </c>
      <c r="BU71" s="49" cm="1">
        <f t="array" ref="BU71:CD71">_xlfn.XLOOKUP(K71,[1]库销表!$F:$F,[1]库销表!$HT:$IC)</f>
        <v>0</v>
      </c>
      <c r="BV71" s="49">
        <v>0</v>
      </c>
      <c r="BW71" s="49">
        <v>0</v>
      </c>
      <c r="BX71" s="49">
        <v>0</v>
      </c>
      <c r="BY71" s="49">
        <v>0</v>
      </c>
      <c r="BZ71" s="49">
        <v>0</v>
      </c>
      <c r="CA71" s="49">
        <v>0</v>
      </c>
      <c r="CB71" s="49">
        <v>0</v>
      </c>
      <c r="CC71" s="49">
        <v>0</v>
      </c>
      <c r="CD71" s="49">
        <v>0</v>
      </c>
      <c r="CW71" s="52">
        <f>_xlfn.XLOOKUP(K71,[1]库销表!$F:$F,[1]库销表!$IE:$IE)</f>
        <v>0</v>
      </c>
      <c r="CX71" s="52">
        <f>_xlfn.XLOOKUP(K71,[1]库销表!$F:$F,[1]库销表!$IF:$IF)</f>
        <v>0</v>
      </c>
      <c r="CY71" s="105">
        <f>_xlfn.XLOOKUP(K71,[1]库销表!$F:$F,[1]库销表!$FL:$FL)</f>
        <v>0</v>
      </c>
      <c r="CZ71" s="52" t="e">
        <f>_xlfn.XLOOKUP(K71,数据更新表!E:E,数据更新表!F:F)</f>
        <v>#N/A</v>
      </c>
      <c r="DA71" s="52" t="e">
        <v>#N/A</v>
      </c>
      <c r="DB71" s="52" t="e">
        <f>_xlfn.XLOOKUP(K71,数据更新表!E:E,数据更新表!G:G)</f>
        <v>#N/A</v>
      </c>
      <c r="DC71" s="106">
        <f>_xlfn.XLOOKUP(L71,数据更新表!Z:Z,数据更新表!AH:AH)</f>
        <v>0</v>
      </c>
      <c r="DD71" s="49">
        <f>_xlfn.XLOOKUP(L71,数据更新表!Z:Z,数据更新表!AE:AE)</f>
        <v>0</v>
      </c>
      <c r="DE71" s="49">
        <f>_xlfn.XLOOKUP(L71,数据更新表!Z:Z,数据更新表!AF:AF)</f>
        <v>0</v>
      </c>
      <c r="DF71" s="49" t="e">
        <f>_xlfn.XLOOKUP(K71,数据更新表!Z:Z,数据更新表!AG:AG)</f>
        <v>#N/A</v>
      </c>
      <c r="DG71" s="49">
        <f>_xlfn.XLOOKUP(L71,数据更新表!Z:Z,数据更新表!AD:AD)</f>
        <v>0</v>
      </c>
      <c r="DH71" s="49">
        <f>_xlfn.XLOOKUP(L71,数据更新表!Z:Z,数据更新表!AA:AA)</f>
        <v>0</v>
      </c>
      <c r="DI71" s="49">
        <f>_xlfn.XLOOKUP(L71,数据更新表!Z:Z,数据更新表!AB:AB)</f>
        <v>0</v>
      </c>
      <c r="DJ71" s="49">
        <f>_xlfn.XLOOKUP(L71,数据更新表!Z:Z,数据更新表!AC:AC)</f>
        <v>0</v>
      </c>
      <c r="DK71" s="49">
        <f>_xlfn.XLOOKUP(L71,数据更新表!Z:Z,数据更新表!AI:AI)</f>
        <v>0</v>
      </c>
      <c r="DX71" s="98">
        <f>_xlfn.XLOOKUP(L71,数据更新表!J:J,数据更新表!L:L)</f>
        <v>0</v>
      </c>
      <c r="DY71" s="98">
        <f>_xlfn.XLOOKUP(L71,数据更新表!J:J,数据更新表!M:M)</f>
        <v>0</v>
      </c>
      <c r="EC71" s="109">
        <f t="shared" si="34"/>
        <v>0</v>
      </c>
      <c r="EE71" s="110">
        <f t="shared" si="36"/>
        <v>0</v>
      </c>
      <c r="EJ71" s="101">
        <f t="shared" si="39"/>
        <v>0</v>
      </c>
    </row>
    <row r="72" hidden="1" customHeight="1" spans="2:148">
      <c r="G72" s="98" t="s">
        <v>373</v>
      </c>
      <c r="H72" s="116" t="s">
        <v>384</v>
      </c>
      <c r="J72" s="116"/>
      <c r="K72" s="116" t="s">
        <v>386</v>
      </c>
      <c r="M72" s="106" t="s">
        <v>183</v>
      </c>
      <c r="N72" s="52">
        <f>_xlfn.XLOOKUP(L72,数据更新表!J:J,数据更新表!K:K)</f>
        <v>0</v>
      </c>
      <c r="O72" s="52" t="str">
        <f>IFERROR(_xlfn.XLOOKUP(K72,数据更新表!A:A,数据更新表!B:B),"0")</f>
        <v>0</v>
      </c>
      <c r="P72" s="52">
        <f>_xlfn.XLOOKUP(K72,[1]库销表!$F:$F,[1]库销表!$L:$L)</f>
        <v>0</v>
      </c>
      <c r="Q72" s="103" t="e">
        <f t="shared" si="27"/>
        <v>#N/A</v>
      </c>
      <c r="S72" s="49" t="e">
        <f>_xlfn.XLOOKUP(K72,数据更新表!R:R,数据更新表!S:S)</f>
        <v>#N/A</v>
      </c>
      <c r="T72" s="49" t="e">
        <f>_xlfn.XLOOKUP(K72,数据更新表!V:V,数据更新表!W:W)</f>
        <v>#N/A</v>
      </c>
      <c r="V72" s="104" t="str">
        <f t="shared" si="28"/>
        <v>0</v>
      </c>
      <c r="W72" s="98" t="e">
        <f t="shared" si="29"/>
        <v>#N/A</v>
      </c>
      <c r="X72" s="98">
        <f t="shared" si="30"/>
        <v>0</v>
      </c>
      <c r="AF72" s="49">
        <f t="shared" si="31"/>
        <v>0</v>
      </c>
      <c r="BS72" s="52">
        <f>_xlfn.XLOOKUP(K72,[1]库销表!$F:$F,[1]库销表!$L:$L)</f>
        <v>0</v>
      </c>
      <c r="BT72" s="52">
        <f t="shared" si="32"/>
        <v>0</v>
      </c>
      <c r="BU72" s="49" cm="1">
        <f t="array" ref="BU72:CD72">_xlfn.XLOOKUP(K72,[1]库销表!$F:$F,[1]库销表!$HT:$IC)</f>
        <v>0</v>
      </c>
      <c r="BV72" s="49">
        <v>0</v>
      </c>
      <c r="BW72" s="49">
        <v>0</v>
      </c>
      <c r="BX72" s="49">
        <v>0</v>
      </c>
      <c r="BY72" s="49">
        <v>0</v>
      </c>
      <c r="BZ72" s="49">
        <v>0</v>
      </c>
      <c r="CA72" s="49">
        <v>0</v>
      </c>
      <c r="CB72" s="49">
        <v>0</v>
      </c>
      <c r="CC72" s="49">
        <v>0</v>
      </c>
      <c r="CD72" s="49">
        <v>0</v>
      </c>
      <c r="CW72" s="52">
        <f>_xlfn.XLOOKUP(K72,[1]库销表!$F:$F,[1]库销表!$IE:$IE)</f>
        <v>0</v>
      </c>
      <c r="CX72" s="52">
        <f>_xlfn.XLOOKUP(K72,[1]库销表!$F:$F,[1]库销表!$IF:$IF)</f>
        <v>0</v>
      </c>
      <c r="CY72" s="105">
        <f>_xlfn.XLOOKUP(K72,[1]库销表!$F:$F,[1]库销表!$FL:$FL)</f>
        <v>0</v>
      </c>
      <c r="CZ72" s="52" t="e">
        <f>_xlfn.XLOOKUP(K72,数据更新表!E:E,数据更新表!F:F)</f>
        <v>#N/A</v>
      </c>
      <c r="DA72" s="52" t="e">
        <v>#N/A</v>
      </c>
      <c r="DB72" s="52" t="e">
        <f>_xlfn.XLOOKUP(K72,数据更新表!E:E,数据更新表!G:G)</f>
        <v>#N/A</v>
      </c>
      <c r="DC72" s="106">
        <f>_xlfn.XLOOKUP(L72,数据更新表!Z:Z,数据更新表!AH:AH)</f>
        <v>0</v>
      </c>
      <c r="DD72" s="49">
        <f>_xlfn.XLOOKUP(L72,数据更新表!Z:Z,数据更新表!AE:AE)</f>
        <v>0</v>
      </c>
      <c r="DE72" s="49">
        <f>_xlfn.XLOOKUP(L72,数据更新表!Z:Z,数据更新表!AF:AF)</f>
        <v>0</v>
      </c>
      <c r="DF72" s="49" t="e">
        <f>_xlfn.XLOOKUP(K72,数据更新表!Z:Z,数据更新表!AG:AG)</f>
        <v>#N/A</v>
      </c>
      <c r="DG72" s="49">
        <f>_xlfn.XLOOKUP(L72,数据更新表!Z:Z,数据更新表!AD:AD)</f>
        <v>0</v>
      </c>
      <c r="DH72" s="49">
        <f>_xlfn.XLOOKUP(L72,数据更新表!Z:Z,数据更新表!AA:AA)</f>
        <v>0</v>
      </c>
      <c r="DI72" s="49">
        <f>_xlfn.XLOOKUP(L72,数据更新表!Z:Z,数据更新表!AB:AB)</f>
        <v>0</v>
      </c>
      <c r="DJ72" s="49">
        <f>_xlfn.XLOOKUP(L72,数据更新表!Z:Z,数据更新表!AC:AC)</f>
        <v>0</v>
      </c>
      <c r="DK72" s="49">
        <f>_xlfn.XLOOKUP(L72,数据更新表!Z:Z,数据更新表!AI:AI)</f>
        <v>0</v>
      </c>
      <c r="DX72" s="98">
        <f>_xlfn.XLOOKUP(L72,数据更新表!J:J,数据更新表!L:L)</f>
        <v>0</v>
      </c>
      <c r="DY72" s="98">
        <f>_xlfn.XLOOKUP(L72,数据更新表!J:J,数据更新表!M:M)</f>
        <v>0</v>
      </c>
      <c r="EC72" s="109">
        <f t="shared" si="34"/>
        <v>0</v>
      </c>
      <c r="EE72" s="110">
        <f t="shared" si="36"/>
        <v>0</v>
      </c>
      <c r="EJ72" s="101">
        <f t="shared" si="39"/>
        <v>0</v>
      </c>
    </row>
    <row r="73" hidden="1" customHeight="1" spans="2:148">
      <c r="G73" s="98" t="s">
        <v>373</v>
      </c>
      <c r="H73" s="116" t="s">
        <v>389</v>
      </c>
      <c r="J73" s="116"/>
      <c r="K73" s="116" t="s">
        <v>391</v>
      </c>
      <c r="M73" s="106" t="s">
        <v>183</v>
      </c>
      <c r="N73" s="52">
        <f>_xlfn.XLOOKUP(L73,数据更新表!J:J,数据更新表!K:K)</f>
        <v>0</v>
      </c>
      <c r="O73" s="52" t="str">
        <f>IFERROR(_xlfn.XLOOKUP(K73,数据更新表!A:A,数据更新表!B:B),"0")</f>
        <v>0</v>
      </c>
      <c r="P73" s="52">
        <f>_xlfn.XLOOKUP(K73,[1]库销表!$F:$F,[1]库销表!$L:$L)</f>
        <v>0</v>
      </c>
      <c r="Q73" s="103" t="e">
        <f t="shared" si="27"/>
        <v>#N/A</v>
      </c>
      <c r="S73" s="49" t="e">
        <f>_xlfn.XLOOKUP(K73,数据更新表!R:R,数据更新表!S:S)</f>
        <v>#N/A</v>
      </c>
      <c r="T73" s="49" t="e">
        <f>_xlfn.XLOOKUP(K73,数据更新表!V:V,数据更新表!W:W)</f>
        <v>#N/A</v>
      </c>
      <c r="V73" s="104" t="str">
        <f t="shared" si="28"/>
        <v>0</v>
      </c>
      <c r="W73" s="98" t="e">
        <f t="shared" si="29"/>
        <v>#N/A</v>
      </c>
      <c r="X73" s="98">
        <f t="shared" si="30"/>
        <v>0</v>
      </c>
      <c r="AF73" s="49">
        <f t="shared" si="31"/>
        <v>0</v>
      </c>
      <c r="BS73" s="52">
        <f>_xlfn.XLOOKUP(K73,[1]库销表!$F:$F,[1]库销表!$L:$L)</f>
        <v>0</v>
      </c>
      <c r="BT73" s="52">
        <f t="shared" si="32"/>
        <v>0</v>
      </c>
      <c r="BU73" s="49" cm="1">
        <f t="array" ref="BU73:CD73">_xlfn.XLOOKUP(K73,[1]库销表!$F:$F,[1]库销表!$HT:$IC)</f>
        <v>0</v>
      </c>
      <c r="BV73" s="49">
        <v>0</v>
      </c>
      <c r="BW73" s="49">
        <v>0</v>
      </c>
      <c r="BX73" s="49">
        <v>0</v>
      </c>
      <c r="BY73" s="49">
        <v>0</v>
      </c>
      <c r="BZ73" s="49">
        <v>0</v>
      </c>
      <c r="CA73" s="49">
        <v>0</v>
      </c>
      <c r="CB73" s="49">
        <v>0</v>
      </c>
      <c r="CC73" s="49">
        <v>0</v>
      </c>
      <c r="CD73" s="49">
        <v>0</v>
      </c>
      <c r="CW73" s="52">
        <f>_xlfn.XLOOKUP(K73,[1]库销表!$F:$F,[1]库销表!$IE:$IE)</f>
        <v>0</v>
      </c>
      <c r="CX73" s="52">
        <f>_xlfn.XLOOKUP(K73,[1]库销表!$F:$F,[1]库销表!$IF:$IF)</f>
        <v>0</v>
      </c>
      <c r="CY73" s="105">
        <f>_xlfn.XLOOKUP(K73,[1]库销表!$F:$F,[1]库销表!$FL:$FL)</f>
        <v>0</v>
      </c>
      <c r="CZ73" s="52" t="e">
        <f>_xlfn.XLOOKUP(K73,数据更新表!E:E,数据更新表!F:F)</f>
        <v>#N/A</v>
      </c>
      <c r="DA73" s="52" t="e">
        <v>#N/A</v>
      </c>
      <c r="DB73" s="52" t="e">
        <f>_xlfn.XLOOKUP(K73,数据更新表!E:E,数据更新表!G:G)</f>
        <v>#N/A</v>
      </c>
      <c r="DC73" s="106">
        <f>_xlfn.XLOOKUP(L73,数据更新表!Z:Z,数据更新表!AH:AH)</f>
        <v>0</v>
      </c>
      <c r="DD73" s="49">
        <f>_xlfn.XLOOKUP(L73,数据更新表!Z:Z,数据更新表!AE:AE)</f>
        <v>0</v>
      </c>
      <c r="DE73" s="49">
        <f>_xlfn.XLOOKUP(L73,数据更新表!Z:Z,数据更新表!AF:AF)</f>
        <v>0</v>
      </c>
      <c r="DF73" s="49" t="e">
        <f>_xlfn.XLOOKUP(K73,数据更新表!Z:Z,数据更新表!AG:AG)</f>
        <v>#N/A</v>
      </c>
      <c r="DG73" s="49">
        <f>_xlfn.XLOOKUP(L73,数据更新表!Z:Z,数据更新表!AD:AD)</f>
        <v>0</v>
      </c>
      <c r="DH73" s="49">
        <f>_xlfn.XLOOKUP(L73,数据更新表!Z:Z,数据更新表!AA:AA)</f>
        <v>0</v>
      </c>
      <c r="DI73" s="49">
        <f>_xlfn.XLOOKUP(L73,数据更新表!Z:Z,数据更新表!AB:AB)</f>
        <v>0</v>
      </c>
      <c r="DJ73" s="49">
        <f>_xlfn.XLOOKUP(L73,数据更新表!Z:Z,数据更新表!AC:AC)</f>
        <v>0</v>
      </c>
      <c r="DK73" s="49">
        <f>_xlfn.XLOOKUP(L73,数据更新表!Z:Z,数据更新表!AI:AI)</f>
        <v>0</v>
      </c>
      <c r="DX73" s="98">
        <f>_xlfn.XLOOKUP(L73,数据更新表!J:J,数据更新表!L:L)</f>
        <v>0</v>
      </c>
      <c r="DY73" s="98">
        <f>_xlfn.XLOOKUP(L73,数据更新表!J:J,数据更新表!M:M)</f>
        <v>0</v>
      </c>
      <c r="EC73" s="109">
        <f t="shared" si="34"/>
        <v>0</v>
      </c>
      <c r="EE73" s="110">
        <f t="shared" si="36"/>
        <v>0</v>
      </c>
      <c r="EJ73" s="101">
        <f t="shared" si="39"/>
        <v>0</v>
      </c>
    </row>
    <row r="74" hidden="1" customHeight="1" spans="2:148">
      <c r="G74" s="98" t="s">
        <v>373</v>
      </c>
      <c r="H74" s="116" t="s">
        <v>393</v>
      </c>
      <c r="J74" s="116"/>
      <c r="K74" s="116" t="s">
        <v>395</v>
      </c>
      <c r="M74" s="106" t="s">
        <v>183</v>
      </c>
      <c r="N74" s="52">
        <f>_xlfn.XLOOKUP(L74,数据更新表!J:J,数据更新表!K:K)</f>
        <v>0</v>
      </c>
      <c r="O74" s="52" t="str">
        <f>IFERROR(_xlfn.XLOOKUP(K74,数据更新表!A:A,数据更新表!B:B),"0")</f>
        <v>0</v>
      </c>
      <c r="P74" s="52">
        <f>_xlfn.XLOOKUP(K74,[1]库销表!$F:$F,[1]库销表!$L:$L)</f>
        <v>0</v>
      </c>
      <c r="Q74" s="103" t="e">
        <f t="shared" si="27"/>
        <v>#N/A</v>
      </c>
      <c r="S74" s="49" t="e">
        <f>_xlfn.XLOOKUP(K74,数据更新表!R:R,数据更新表!S:S)</f>
        <v>#N/A</v>
      </c>
      <c r="T74" s="49" t="e">
        <f>_xlfn.XLOOKUP(K74,数据更新表!V:V,数据更新表!W:W)</f>
        <v>#N/A</v>
      </c>
      <c r="V74" s="104" t="str">
        <f t="shared" si="28"/>
        <v>0</v>
      </c>
      <c r="W74" s="98" t="e">
        <f t="shared" si="29"/>
        <v>#N/A</v>
      </c>
      <c r="X74" s="98">
        <f t="shared" si="30"/>
        <v>0</v>
      </c>
      <c r="AF74" s="49">
        <f t="shared" si="31"/>
        <v>0</v>
      </c>
      <c r="BS74" s="52">
        <f>_xlfn.XLOOKUP(K74,[1]库销表!$F:$F,[1]库销表!$L:$L)</f>
        <v>0</v>
      </c>
      <c r="BT74" s="52">
        <f t="shared" si="32"/>
        <v>0</v>
      </c>
      <c r="BU74" s="49" cm="1">
        <f t="array" ref="BU74:CD74">_xlfn.XLOOKUP(K74,[1]库销表!$F:$F,[1]库销表!$HT:$IC)</f>
        <v>0</v>
      </c>
      <c r="BV74" s="49">
        <v>0</v>
      </c>
      <c r="BW74" s="49">
        <v>0</v>
      </c>
      <c r="BX74" s="49">
        <v>0</v>
      </c>
      <c r="BY74" s="49">
        <v>0</v>
      </c>
      <c r="BZ74" s="49">
        <v>0</v>
      </c>
      <c r="CA74" s="49">
        <v>0</v>
      </c>
      <c r="CB74" s="49">
        <v>0</v>
      </c>
      <c r="CC74" s="49">
        <v>0</v>
      </c>
      <c r="CD74" s="49">
        <v>0</v>
      </c>
      <c r="CW74" s="52">
        <f>_xlfn.XLOOKUP(K74,[1]库销表!$F:$F,[1]库销表!$IE:$IE)</f>
        <v>0</v>
      </c>
      <c r="CX74" s="52">
        <f>_xlfn.XLOOKUP(K74,[1]库销表!$F:$F,[1]库销表!$IF:$IF)</f>
        <v>0</v>
      </c>
      <c r="CY74" s="105">
        <f>_xlfn.XLOOKUP(K74,[1]库销表!$F:$F,[1]库销表!$FL:$FL)</f>
        <v>0</v>
      </c>
      <c r="CZ74" s="52" t="e">
        <f>_xlfn.XLOOKUP(K74,数据更新表!E:E,数据更新表!F:F)</f>
        <v>#N/A</v>
      </c>
      <c r="DA74" s="52" t="e">
        <v>#N/A</v>
      </c>
      <c r="DB74" s="52" t="e">
        <f>_xlfn.XLOOKUP(K74,数据更新表!E:E,数据更新表!G:G)</f>
        <v>#N/A</v>
      </c>
      <c r="DC74" s="106">
        <f>_xlfn.XLOOKUP(L74,数据更新表!Z:Z,数据更新表!AH:AH)</f>
        <v>0</v>
      </c>
      <c r="DD74" s="49">
        <f>_xlfn.XLOOKUP(L74,数据更新表!Z:Z,数据更新表!AE:AE)</f>
        <v>0</v>
      </c>
      <c r="DE74" s="49">
        <f>_xlfn.XLOOKUP(L74,数据更新表!Z:Z,数据更新表!AF:AF)</f>
        <v>0</v>
      </c>
      <c r="DF74" s="49" t="e">
        <f>_xlfn.XLOOKUP(K74,数据更新表!Z:Z,数据更新表!AG:AG)</f>
        <v>#N/A</v>
      </c>
      <c r="DG74" s="49">
        <f>_xlfn.XLOOKUP(L74,数据更新表!Z:Z,数据更新表!AD:AD)</f>
        <v>0</v>
      </c>
      <c r="DH74" s="49">
        <f>_xlfn.XLOOKUP(L74,数据更新表!Z:Z,数据更新表!AA:AA)</f>
        <v>0</v>
      </c>
      <c r="DI74" s="49">
        <f>_xlfn.XLOOKUP(L74,数据更新表!Z:Z,数据更新表!AB:AB)</f>
        <v>0</v>
      </c>
      <c r="DJ74" s="49">
        <f>_xlfn.XLOOKUP(L74,数据更新表!Z:Z,数据更新表!AC:AC)</f>
        <v>0</v>
      </c>
      <c r="DK74" s="49">
        <f>_xlfn.XLOOKUP(L74,数据更新表!Z:Z,数据更新表!AI:AI)</f>
        <v>0</v>
      </c>
      <c r="DX74" s="98">
        <f>_xlfn.XLOOKUP(L74,数据更新表!J:J,数据更新表!L:L)</f>
        <v>0</v>
      </c>
      <c r="DY74" s="98">
        <f>_xlfn.XLOOKUP(L74,数据更新表!J:J,数据更新表!M:M)</f>
        <v>0</v>
      </c>
      <c r="EC74" s="109">
        <f t="shared" si="34"/>
        <v>0</v>
      </c>
      <c r="EE74" s="110">
        <f t="shared" si="36"/>
        <v>0</v>
      </c>
      <c r="EJ74" s="101">
        <f t="shared" si="39"/>
        <v>0</v>
      </c>
    </row>
    <row r="75" hidden="1" customHeight="1" spans="2:148">
      <c r="G75" s="98" t="s">
        <v>373</v>
      </c>
      <c r="H75" s="116" t="s">
        <v>397</v>
      </c>
      <c r="J75" s="116"/>
      <c r="K75" s="116" t="s">
        <v>399</v>
      </c>
      <c r="M75" s="106" t="s">
        <v>183</v>
      </c>
      <c r="N75" s="52">
        <f>_xlfn.XLOOKUP(L75,数据更新表!J:J,数据更新表!K:K)</f>
        <v>0</v>
      </c>
      <c r="O75" s="52" t="str">
        <f>IFERROR(_xlfn.XLOOKUP(K75,数据更新表!A:A,数据更新表!B:B),"0")</f>
        <v>0</v>
      </c>
      <c r="P75" s="52">
        <f>_xlfn.XLOOKUP(K75,[1]库销表!$F:$F,[1]库销表!$L:$L)</f>
        <v>0</v>
      </c>
      <c r="Q75" s="103" t="e">
        <f t="shared" si="27"/>
        <v>#N/A</v>
      </c>
      <c r="S75" s="49" t="e">
        <f>_xlfn.XLOOKUP(K75,数据更新表!R:R,数据更新表!S:S)</f>
        <v>#N/A</v>
      </c>
      <c r="T75" s="49" t="e">
        <f>_xlfn.XLOOKUP(K75,数据更新表!V:V,数据更新表!W:W)</f>
        <v>#N/A</v>
      </c>
      <c r="V75" s="104" t="str">
        <f t="shared" si="28"/>
        <v>0</v>
      </c>
      <c r="W75" s="98" t="e">
        <f t="shared" si="29"/>
        <v>#N/A</v>
      </c>
      <c r="X75" s="98">
        <f t="shared" si="30"/>
        <v>0</v>
      </c>
      <c r="AF75" s="49">
        <f t="shared" si="31"/>
        <v>0</v>
      </c>
      <c r="BS75" s="52">
        <f>_xlfn.XLOOKUP(K75,[1]库销表!$F:$F,[1]库销表!$L:$L)</f>
        <v>0</v>
      </c>
      <c r="BT75" s="52">
        <f t="shared" si="32"/>
        <v>0</v>
      </c>
      <c r="BU75" s="49" cm="1">
        <f t="array" ref="BU75:CD75">_xlfn.XLOOKUP(K75,[1]库销表!$F:$F,[1]库销表!$HT:$IC)</f>
        <v>0</v>
      </c>
      <c r="BV75" s="49">
        <v>0</v>
      </c>
      <c r="BW75" s="49">
        <v>0</v>
      </c>
      <c r="BX75" s="49">
        <v>0</v>
      </c>
      <c r="BY75" s="49">
        <v>0</v>
      </c>
      <c r="BZ75" s="49">
        <v>0</v>
      </c>
      <c r="CA75" s="49">
        <v>0</v>
      </c>
      <c r="CB75" s="49">
        <v>0</v>
      </c>
      <c r="CC75" s="49">
        <v>0</v>
      </c>
      <c r="CD75" s="49">
        <v>0</v>
      </c>
      <c r="CW75" s="52">
        <f>_xlfn.XLOOKUP(K75,[1]库销表!$F:$F,[1]库销表!$IE:$IE)</f>
        <v>0</v>
      </c>
      <c r="CX75" s="52">
        <f>_xlfn.XLOOKUP(K75,[1]库销表!$F:$F,[1]库销表!$IF:$IF)</f>
        <v>0</v>
      </c>
      <c r="CY75" s="105">
        <f>_xlfn.XLOOKUP(K75,[1]库销表!$F:$F,[1]库销表!$FL:$FL)</f>
        <v>0</v>
      </c>
      <c r="CZ75" s="52" t="e">
        <f>_xlfn.XLOOKUP(K75,数据更新表!E:E,数据更新表!F:F)</f>
        <v>#N/A</v>
      </c>
      <c r="DA75" s="52" t="e">
        <v>#N/A</v>
      </c>
      <c r="DB75" s="52" t="e">
        <f>_xlfn.XLOOKUP(K75,数据更新表!E:E,数据更新表!G:G)</f>
        <v>#N/A</v>
      </c>
      <c r="DC75" s="106">
        <f>_xlfn.XLOOKUP(L75,数据更新表!Z:Z,数据更新表!AH:AH)</f>
        <v>0</v>
      </c>
      <c r="DD75" s="49">
        <f>_xlfn.XLOOKUP(L75,数据更新表!Z:Z,数据更新表!AE:AE)</f>
        <v>0</v>
      </c>
      <c r="DE75" s="49">
        <f>_xlfn.XLOOKUP(L75,数据更新表!Z:Z,数据更新表!AF:AF)</f>
        <v>0</v>
      </c>
      <c r="DF75" s="49" t="e">
        <f>_xlfn.XLOOKUP(K75,数据更新表!Z:Z,数据更新表!AG:AG)</f>
        <v>#N/A</v>
      </c>
      <c r="DG75" s="49">
        <f>_xlfn.XLOOKUP(L75,数据更新表!Z:Z,数据更新表!AD:AD)</f>
        <v>0</v>
      </c>
      <c r="DH75" s="49">
        <f>_xlfn.XLOOKUP(L75,数据更新表!Z:Z,数据更新表!AA:AA)</f>
        <v>0</v>
      </c>
      <c r="DI75" s="49">
        <f>_xlfn.XLOOKUP(L75,数据更新表!Z:Z,数据更新表!AB:AB)</f>
        <v>0</v>
      </c>
      <c r="DJ75" s="49">
        <f>_xlfn.XLOOKUP(L75,数据更新表!Z:Z,数据更新表!AC:AC)</f>
        <v>0</v>
      </c>
      <c r="DK75" s="49">
        <f>_xlfn.XLOOKUP(L75,数据更新表!Z:Z,数据更新表!AI:AI)</f>
        <v>0</v>
      </c>
      <c r="DX75" s="98">
        <f>_xlfn.XLOOKUP(L75,数据更新表!J:J,数据更新表!L:L)</f>
        <v>0</v>
      </c>
      <c r="DY75" s="98">
        <f>_xlfn.XLOOKUP(L75,数据更新表!J:J,数据更新表!M:M)</f>
        <v>0</v>
      </c>
      <c r="EC75" s="109">
        <f t="shared" si="34"/>
        <v>0</v>
      </c>
      <c r="EE75" s="110">
        <f t="shared" si="36"/>
        <v>0</v>
      </c>
      <c r="EJ75" s="101">
        <f t="shared" si="39"/>
        <v>0</v>
      </c>
    </row>
    <row r="76" hidden="1" customHeight="1" spans="2:148">
      <c r="G76" s="98" t="s">
        <v>401</v>
      </c>
      <c r="H76" s="116" t="s">
        <v>402</v>
      </c>
      <c r="J76" s="116"/>
      <c r="K76" s="116" t="s">
        <v>404</v>
      </c>
      <c r="M76" s="106" t="s">
        <v>183</v>
      </c>
      <c r="N76" s="52">
        <f>_xlfn.XLOOKUP(L76,数据更新表!J:J,数据更新表!K:K)</f>
        <v>0</v>
      </c>
      <c r="O76" s="52" t="str">
        <f>IFERROR(_xlfn.XLOOKUP(K76,数据更新表!A:A,数据更新表!B:B),"0")</f>
        <v>0</v>
      </c>
      <c r="P76" s="52">
        <f>_xlfn.XLOOKUP(K76,[1]库销表!$F:$F,[1]库销表!$L:$L)</f>
        <v>0</v>
      </c>
      <c r="Q76" s="103" t="e">
        <f t="shared" si="27"/>
        <v>#N/A</v>
      </c>
      <c r="S76" s="49" t="e">
        <f>_xlfn.XLOOKUP(K76,数据更新表!R:R,数据更新表!S:S)</f>
        <v>#N/A</v>
      </c>
      <c r="T76" s="49" t="e">
        <f>_xlfn.XLOOKUP(K76,数据更新表!V:V,数据更新表!W:W)</f>
        <v>#N/A</v>
      </c>
      <c r="V76" s="104" t="str">
        <f t="shared" si="28"/>
        <v>0</v>
      </c>
      <c r="W76" s="98" t="e">
        <f t="shared" si="29"/>
        <v>#N/A</v>
      </c>
      <c r="X76" s="98">
        <f t="shared" si="30"/>
        <v>0</v>
      </c>
      <c r="AF76" s="49">
        <f t="shared" si="31"/>
        <v>0</v>
      </c>
      <c r="BS76" s="52">
        <f>_xlfn.XLOOKUP(K76,[1]库销表!$F:$F,[1]库销表!$L:$L)</f>
        <v>0</v>
      </c>
      <c r="BT76" s="52">
        <f t="shared" si="32"/>
        <v>0</v>
      </c>
      <c r="BU76" s="49" cm="1">
        <f t="array" ref="BU76:CD76">_xlfn.XLOOKUP(K76,[1]库销表!$F:$F,[1]库销表!$HT:$IC)</f>
        <v>0</v>
      </c>
      <c r="BV76" s="49">
        <v>0</v>
      </c>
      <c r="BW76" s="49">
        <v>0</v>
      </c>
      <c r="BX76" s="49">
        <v>0</v>
      </c>
      <c r="BY76" s="49">
        <v>0</v>
      </c>
      <c r="BZ76" s="49">
        <v>0</v>
      </c>
      <c r="CA76" s="49">
        <v>0</v>
      </c>
      <c r="CB76" s="49">
        <v>0</v>
      </c>
      <c r="CC76" s="49">
        <v>0</v>
      </c>
      <c r="CD76" s="49">
        <v>0</v>
      </c>
      <c r="CW76" s="52">
        <f>_xlfn.XLOOKUP(K76,[1]库销表!$F:$F,[1]库销表!$IE:$IE)</f>
        <v>0</v>
      </c>
      <c r="CX76" s="52">
        <f>_xlfn.XLOOKUP(K76,[1]库销表!$F:$F,[1]库销表!$IF:$IF)</f>
        <v>0</v>
      </c>
      <c r="CY76" s="105">
        <f>_xlfn.XLOOKUP(K76,[1]库销表!$F:$F,[1]库销表!$FL:$FL)</f>
        <v>0</v>
      </c>
      <c r="CZ76" s="52" t="e">
        <f>_xlfn.XLOOKUP(K76,数据更新表!E:E,数据更新表!F:F)</f>
        <v>#N/A</v>
      </c>
      <c r="DA76" s="52" t="e">
        <v>#N/A</v>
      </c>
      <c r="DB76" s="52" t="e">
        <f>_xlfn.XLOOKUP(K76,数据更新表!E:E,数据更新表!G:G)</f>
        <v>#N/A</v>
      </c>
      <c r="DC76" s="106">
        <f>_xlfn.XLOOKUP(L76,数据更新表!Z:Z,数据更新表!AH:AH)</f>
        <v>0</v>
      </c>
      <c r="DD76" s="49">
        <f>_xlfn.XLOOKUP(L76,数据更新表!Z:Z,数据更新表!AE:AE)</f>
        <v>0</v>
      </c>
      <c r="DE76" s="49">
        <f>_xlfn.XLOOKUP(L76,数据更新表!Z:Z,数据更新表!AF:AF)</f>
        <v>0</v>
      </c>
      <c r="DF76" s="49" t="e">
        <f>_xlfn.XLOOKUP(K76,数据更新表!Z:Z,数据更新表!AG:AG)</f>
        <v>#N/A</v>
      </c>
      <c r="DG76" s="49">
        <f>_xlfn.XLOOKUP(L76,数据更新表!Z:Z,数据更新表!AD:AD)</f>
        <v>0</v>
      </c>
      <c r="DH76" s="49">
        <f>_xlfn.XLOOKUP(L76,数据更新表!Z:Z,数据更新表!AA:AA)</f>
        <v>0</v>
      </c>
      <c r="DI76" s="49">
        <f>_xlfn.XLOOKUP(L76,数据更新表!Z:Z,数据更新表!AB:AB)</f>
        <v>0</v>
      </c>
      <c r="DJ76" s="49">
        <f>_xlfn.XLOOKUP(L76,数据更新表!Z:Z,数据更新表!AC:AC)</f>
        <v>0</v>
      </c>
      <c r="DK76" s="49">
        <f>_xlfn.XLOOKUP(L76,数据更新表!Z:Z,数据更新表!AI:AI)</f>
        <v>0</v>
      </c>
      <c r="DX76" s="98">
        <f>_xlfn.XLOOKUP(L76,数据更新表!J:J,数据更新表!L:L)</f>
        <v>0</v>
      </c>
      <c r="DY76" s="98">
        <f>_xlfn.XLOOKUP(L76,数据更新表!J:J,数据更新表!M:M)</f>
        <v>0</v>
      </c>
      <c r="EC76" s="109">
        <f t="shared" si="34"/>
        <v>0</v>
      </c>
      <c r="EE76" s="110">
        <f t="shared" si="36"/>
        <v>0</v>
      </c>
      <c r="EJ76" s="101">
        <f t="shared" si="39"/>
        <v>0</v>
      </c>
    </row>
    <row r="77" hidden="1" customHeight="1" spans="2:148">
      <c r="G77" s="98" t="s">
        <v>406</v>
      </c>
      <c r="H77" s="116" t="s">
        <v>407</v>
      </c>
      <c r="J77" s="116"/>
      <c r="K77" s="116" t="s">
        <v>409</v>
      </c>
      <c r="M77" s="106" t="s">
        <v>183</v>
      </c>
      <c r="N77" s="52">
        <f>_xlfn.XLOOKUP(L77,数据更新表!J:J,数据更新表!K:K)</f>
        <v>0</v>
      </c>
      <c r="O77" s="52" t="str">
        <f>IFERROR(_xlfn.XLOOKUP(K77,数据更新表!A:A,数据更新表!B:B),"0")</f>
        <v>0</v>
      </c>
      <c r="P77" s="52">
        <f>_xlfn.XLOOKUP(K77,[1]库销表!$F:$F,[1]库销表!$L:$L)</f>
        <v>0</v>
      </c>
      <c r="Q77" s="103" t="e">
        <f t="shared" si="27"/>
        <v>#N/A</v>
      </c>
      <c r="S77" s="49" t="e">
        <f>_xlfn.XLOOKUP(K77,数据更新表!R:R,数据更新表!S:S)</f>
        <v>#N/A</v>
      </c>
      <c r="T77" s="49" t="e">
        <f>_xlfn.XLOOKUP(K77,数据更新表!V:V,数据更新表!W:W)</f>
        <v>#N/A</v>
      </c>
      <c r="V77" s="104" t="str">
        <f t="shared" si="28"/>
        <v>0</v>
      </c>
      <c r="W77" s="98" t="e">
        <f t="shared" si="29"/>
        <v>#N/A</v>
      </c>
      <c r="X77" s="98">
        <f t="shared" si="30"/>
        <v>0</v>
      </c>
      <c r="AF77" s="49">
        <f t="shared" si="31"/>
        <v>0</v>
      </c>
      <c r="BS77" s="52">
        <f>_xlfn.XLOOKUP(K77,[1]库销表!$F:$F,[1]库销表!$L:$L)</f>
        <v>0</v>
      </c>
      <c r="BT77" s="52">
        <f t="shared" si="32"/>
        <v>0</v>
      </c>
      <c r="BU77" s="49" cm="1">
        <f t="array" ref="BU77:CD77">_xlfn.XLOOKUP(K77,[1]库销表!$F:$F,[1]库销表!$HT:$IC)</f>
        <v>0</v>
      </c>
      <c r="BV77" s="49">
        <v>0</v>
      </c>
      <c r="BW77" s="49">
        <v>0</v>
      </c>
      <c r="BX77" s="49">
        <v>0</v>
      </c>
      <c r="BY77" s="49">
        <v>0</v>
      </c>
      <c r="BZ77" s="49">
        <v>0</v>
      </c>
      <c r="CA77" s="49">
        <v>0</v>
      </c>
      <c r="CB77" s="49">
        <v>0</v>
      </c>
      <c r="CC77" s="49">
        <v>0</v>
      </c>
      <c r="CD77" s="49">
        <v>0</v>
      </c>
      <c r="CW77" s="52">
        <f>_xlfn.XLOOKUP(K77,[1]库销表!$F:$F,[1]库销表!$IE:$IE)</f>
        <v>0</v>
      </c>
      <c r="CX77" s="52">
        <f>_xlfn.XLOOKUP(K77,[1]库销表!$F:$F,[1]库销表!$IF:$IF)</f>
        <v>0</v>
      </c>
      <c r="CY77" s="105">
        <f>_xlfn.XLOOKUP(K77,[1]库销表!$F:$F,[1]库销表!$FL:$FL)</f>
        <v>0</v>
      </c>
      <c r="CZ77" s="52" t="e">
        <f>_xlfn.XLOOKUP(K77,数据更新表!E:E,数据更新表!F:F)</f>
        <v>#N/A</v>
      </c>
      <c r="DA77" s="52" t="e">
        <v>#N/A</v>
      </c>
      <c r="DB77" s="52" t="e">
        <f>_xlfn.XLOOKUP(K77,数据更新表!E:E,数据更新表!G:G)</f>
        <v>#N/A</v>
      </c>
      <c r="DC77" s="106">
        <f>_xlfn.XLOOKUP(L77,数据更新表!Z:Z,数据更新表!AH:AH)</f>
        <v>0</v>
      </c>
      <c r="DD77" s="49">
        <f>_xlfn.XLOOKUP(L77,数据更新表!Z:Z,数据更新表!AE:AE)</f>
        <v>0</v>
      </c>
      <c r="DE77" s="49">
        <f>_xlfn.XLOOKUP(L77,数据更新表!Z:Z,数据更新表!AF:AF)</f>
        <v>0</v>
      </c>
      <c r="DF77" s="49" t="e">
        <f>_xlfn.XLOOKUP(K77,数据更新表!Z:Z,数据更新表!AG:AG)</f>
        <v>#N/A</v>
      </c>
      <c r="DG77" s="49">
        <f>_xlfn.XLOOKUP(L77,数据更新表!Z:Z,数据更新表!AD:AD)</f>
        <v>0</v>
      </c>
      <c r="DH77" s="49">
        <f>_xlfn.XLOOKUP(L77,数据更新表!Z:Z,数据更新表!AA:AA)</f>
        <v>0</v>
      </c>
      <c r="DI77" s="49">
        <f>_xlfn.XLOOKUP(L77,数据更新表!Z:Z,数据更新表!AB:AB)</f>
        <v>0</v>
      </c>
      <c r="DJ77" s="49">
        <f>_xlfn.XLOOKUP(L77,数据更新表!Z:Z,数据更新表!AC:AC)</f>
        <v>0</v>
      </c>
      <c r="DK77" s="49">
        <f>_xlfn.XLOOKUP(L77,数据更新表!Z:Z,数据更新表!AI:AI)</f>
        <v>0</v>
      </c>
      <c r="DX77" s="98">
        <f>_xlfn.XLOOKUP(L77,数据更新表!J:J,数据更新表!L:L)</f>
        <v>0</v>
      </c>
      <c r="DY77" s="98">
        <f>_xlfn.XLOOKUP(L77,数据更新表!J:J,数据更新表!M:M)</f>
        <v>0</v>
      </c>
      <c r="EC77" s="109">
        <f t="shared" si="34"/>
        <v>0</v>
      </c>
      <c r="EE77" s="110">
        <f t="shared" si="36"/>
        <v>0</v>
      </c>
      <c r="EJ77" s="101">
        <f t="shared" si="39"/>
        <v>0</v>
      </c>
    </row>
    <row r="78" hidden="1" customHeight="1" spans="2:148">
      <c r="G78" s="98" t="s">
        <v>411</v>
      </c>
      <c r="H78" s="116" t="s">
        <v>412</v>
      </c>
      <c r="J78" s="116"/>
      <c r="K78" s="116" t="s">
        <v>414</v>
      </c>
      <c r="M78" s="106" t="s">
        <v>183</v>
      </c>
      <c r="N78" s="52">
        <f>_xlfn.XLOOKUP(L78,数据更新表!J:J,数据更新表!K:K)</f>
        <v>0</v>
      </c>
      <c r="O78" s="52" t="str">
        <f>IFERROR(_xlfn.XLOOKUP(K78,数据更新表!A:A,数据更新表!B:B),"0")</f>
        <v>0</v>
      </c>
      <c r="P78" s="52">
        <f>_xlfn.XLOOKUP(K78,[1]库销表!$F:$F,[1]库销表!$L:$L)</f>
        <v>0</v>
      </c>
      <c r="Q78" s="103" t="e">
        <f t="shared" si="27"/>
        <v>#N/A</v>
      </c>
      <c r="S78" s="49" t="e">
        <f>_xlfn.XLOOKUP(K78,数据更新表!R:R,数据更新表!S:S)</f>
        <v>#N/A</v>
      </c>
      <c r="T78" s="49" t="e">
        <f>_xlfn.XLOOKUP(K78,数据更新表!V:V,数据更新表!W:W)</f>
        <v>#N/A</v>
      </c>
      <c r="V78" s="104" t="str">
        <f t="shared" si="28"/>
        <v>0</v>
      </c>
      <c r="W78" s="98" t="e">
        <f t="shared" si="29"/>
        <v>#N/A</v>
      </c>
      <c r="X78" s="98">
        <f t="shared" si="30"/>
        <v>0</v>
      </c>
      <c r="AF78" s="49">
        <f t="shared" si="31"/>
        <v>0</v>
      </c>
      <c r="BS78" s="52">
        <f>_xlfn.XLOOKUP(K78,[1]库销表!$F:$F,[1]库销表!$L:$L)</f>
        <v>0</v>
      </c>
      <c r="BT78" s="52">
        <f t="shared" si="32"/>
        <v>0</v>
      </c>
      <c r="BU78" s="49" cm="1">
        <f t="array" ref="BU78:CD78">_xlfn.XLOOKUP(K78,[1]库销表!$F:$F,[1]库销表!$HT:$IC)</f>
        <v>0</v>
      </c>
      <c r="BV78" s="49">
        <v>0</v>
      </c>
      <c r="BW78" s="49">
        <v>0</v>
      </c>
      <c r="BX78" s="49">
        <v>0</v>
      </c>
      <c r="BY78" s="49">
        <v>0</v>
      </c>
      <c r="BZ78" s="49">
        <v>0</v>
      </c>
      <c r="CA78" s="49">
        <v>0</v>
      </c>
      <c r="CB78" s="49">
        <v>0</v>
      </c>
      <c r="CC78" s="49">
        <v>0</v>
      </c>
      <c r="CD78" s="49">
        <v>0</v>
      </c>
      <c r="CW78" s="52">
        <f>_xlfn.XLOOKUP(K78,[1]库销表!$F:$F,[1]库销表!$IE:$IE)</f>
        <v>0</v>
      </c>
      <c r="CX78" s="52">
        <f>_xlfn.XLOOKUP(K78,[1]库销表!$F:$F,[1]库销表!$IF:$IF)</f>
        <v>0</v>
      </c>
      <c r="CY78" s="105">
        <f>_xlfn.XLOOKUP(K78,[1]库销表!$F:$F,[1]库销表!$FL:$FL)</f>
        <v>0</v>
      </c>
      <c r="CZ78" s="52" t="e">
        <f>_xlfn.XLOOKUP(K78,数据更新表!E:E,数据更新表!F:F)</f>
        <v>#N/A</v>
      </c>
      <c r="DA78" s="52" t="e">
        <v>#N/A</v>
      </c>
      <c r="DB78" s="52" t="e">
        <f>_xlfn.XLOOKUP(K78,数据更新表!E:E,数据更新表!G:G)</f>
        <v>#N/A</v>
      </c>
      <c r="DC78" s="106">
        <f>_xlfn.XLOOKUP(L78,数据更新表!Z:Z,数据更新表!AH:AH)</f>
        <v>0</v>
      </c>
      <c r="DD78" s="49">
        <f>_xlfn.XLOOKUP(L78,数据更新表!Z:Z,数据更新表!AE:AE)</f>
        <v>0</v>
      </c>
      <c r="DE78" s="49">
        <f>_xlfn.XLOOKUP(L78,数据更新表!Z:Z,数据更新表!AF:AF)</f>
        <v>0</v>
      </c>
      <c r="DF78" s="49" t="e">
        <f>_xlfn.XLOOKUP(K78,数据更新表!Z:Z,数据更新表!AG:AG)</f>
        <v>#N/A</v>
      </c>
      <c r="DG78" s="49">
        <f>_xlfn.XLOOKUP(L78,数据更新表!Z:Z,数据更新表!AD:AD)</f>
        <v>0</v>
      </c>
      <c r="DH78" s="49">
        <f>_xlfn.XLOOKUP(L78,数据更新表!Z:Z,数据更新表!AA:AA)</f>
        <v>0</v>
      </c>
      <c r="DI78" s="49">
        <f>_xlfn.XLOOKUP(L78,数据更新表!Z:Z,数据更新表!AB:AB)</f>
        <v>0</v>
      </c>
      <c r="DJ78" s="49">
        <f>_xlfn.XLOOKUP(L78,数据更新表!Z:Z,数据更新表!AC:AC)</f>
        <v>0</v>
      </c>
      <c r="DK78" s="49">
        <f>_xlfn.XLOOKUP(L78,数据更新表!Z:Z,数据更新表!AI:AI)</f>
        <v>0</v>
      </c>
      <c r="DX78" s="98">
        <f>_xlfn.XLOOKUP(L78,数据更新表!J:J,数据更新表!L:L)</f>
        <v>0</v>
      </c>
      <c r="DY78" s="98">
        <f>_xlfn.XLOOKUP(L78,数据更新表!J:J,数据更新表!M:M)</f>
        <v>0</v>
      </c>
      <c r="EC78" s="109">
        <f t="shared" si="34"/>
        <v>0</v>
      </c>
      <c r="EE78" s="110">
        <f t="shared" si="36"/>
        <v>0</v>
      </c>
      <c r="EJ78" s="101">
        <f t="shared" si="39"/>
        <v>0</v>
      </c>
    </row>
    <row r="79" hidden="1" customHeight="1" spans="2:148">
      <c r="G79" s="98" t="s">
        <v>411</v>
      </c>
      <c r="H79" s="116" t="s">
        <v>416</v>
      </c>
      <c r="J79" s="116"/>
      <c r="K79" s="116" t="s">
        <v>418</v>
      </c>
      <c r="M79" s="106" t="s">
        <v>183</v>
      </c>
      <c r="N79" s="52">
        <f>_xlfn.XLOOKUP(L79,数据更新表!J:J,数据更新表!K:K)</f>
        <v>0</v>
      </c>
      <c r="O79" s="52" t="str">
        <f>IFERROR(_xlfn.XLOOKUP(K79,数据更新表!A:A,数据更新表!B:B),"0")</f>
        <v>0</v>
      </c>
      <c r="P79" s="52">
        <f>_xlfn.XLOOKUP(K79,[1]库销表!$F:$F,[1]库销表!$L:$L)</f>
        <v>0</v>
      </c>
      <c r="Q79" s="103" t="e">
        <f t="shared" si="27"/>
        <v>#N/A</v>
      </c>
      <c r="S79" s="49" t="e">
        <f>_xlfn.XLOOKUP(K79,数据更新表!R:R,数据更新表!S:S)</f>
        <v>#N/A</v>
      </c>
      <c r="T79" s="49" t="e">
        <f>_xlfn.XLOOKUP(K79,数据更新表!V:V,数据更新表!W:W)</f>
        <v>#N/A</v>
      </c>
      <c r="V79" s="104" t="str">
        <f t="shared" si="28"/>
        <v>0</v>
      </c>
      <c r="W79" s="98" t="e">
        <f t="shared" si="29"/>
        <v>#N/A</v>
      </c>
      <c r="X79" s="98">
        <f t="shared" si="30"/>
        <v>0</v>
      </c>
      <c r="AF79" s="49">
        <f t="shared" si="31"/>
        <v>0</v>
      </c>
      <c r="BS79" s="52">
        <f>_xlfn.XLOOKUP(K79,[1]库销表!$F:$F,[1]库销表!$L:$L)</f>
        <v>0</v>
      </c>
      <c r="BT79" s="52">
        <f t="shared" si="32"/>
        <v>0</v>
      </c>
      <c r="BU79" s="49" cm="1">
        <f t="array" ref="BU79:CD79">_xlfn.XLOOKUP(K79,[1]库销表!$F:$F,[1]库销表!$HT:$IC)</f>
        <v>0</v>
      </c>
      <c r="BV79" s="49">
        <v>0</v>
      </c>
      <c r="BW79" s="49">
        <v>0</v>
      </c>
      <c r="BX79" s="49">
        <v>0</v>
      </c>
      <c r="BY79" s="49">
        <v>0</v>
      </c>
      <c r="BZ79" s="49">
        <v>0</v>
      </c>
      <c r="CA79" s="49">
        <v>0</v>
      </c>
      <c r="CB79" s="49">
        <v>0</v>
      </c>
      <c r="CC79" s="49">
        <v>0</v>
      </c>
      <c r="CD79" s="49">
        <v>0</v>
      </c>
      <c r="CW79" s="52">
        <f>_xlfn.XLOOKUP(K79,[1]库销表!$F:$F,[1]库销表!$IE:$IE)</f>
        <v>0</v>
      </c>
      <c r="CX79" s="52">
        <f>_xlfn.XLOOKUP(K79,[1]库销表!$F:$F,[1]库销表!$IF:$IF)</f>
        <v>0</v>
      </c>
      <c r="CY79" s="105">
        <f>_xlfn.XLOOKUP(K79,[1]库销表!$F:$F,[1]库销表!$FL:$FL)</f>
        <v>0</v>
      </c>
      <c r="CZ79" s="52" t="e">
        <f>_xlfn.XLOOKUP(K79,数据更新表!E:E,数据更新表!F:F)</f>
        <v>#N/A</v>
      </c>
      <c r="DA79" s="52" t="e">
        <v>#N/A</v>
      </c>
      <c r="DB79" s="52" t="e">
        <f>_xlfn.XLOOKUP(K79,数据更新表!E:E,数据更新表!G:G)</f>
        <v>#N/A</v>
      </c>
      <c r="DC79" s="106">
        <f>_xlfn.XLOOKUP(L79,数据更新表!Z:Z,数据更新表!AH:AH)</f>
        <v>0</v>
      </c>
      <c r="DD79" s="49">
        <f>_xlfn.XLOOKUP(L79,数据更新表!Z:Z,数据更新表!AE:AE)</f>
        <v>0</v>
      </c>
      <c r="DE79" s="49">
        <f>_xlfn.XLOOKUP(L79,数据更新表!Z:Z,数据更新表!AF:AF)</f>
        <v>0</v>
      </c>
      <c r="DF79" s="49" t="e">
        <f>_xlfn.XLOOKUP(K79,数据更新表!Z:Z,数据更新表!AG:AG)</f>
        <v>#N/A</v>
      </c>
      <c r="DG79" s="49">
        <f>_xlfn.XLOOKUP(L79,数据更新表!Z:Z,数据更新表!AD:AD)</f>
        <v>0</v>
      </c>
      <c r="DH79" s="49">
        <f>_xlfn.XLOOKUP(L79,数据更新表!Z:Z,数据更新表!AA:AA)</f>
        <v>0</v>
      </c>
      <c r="DI79" s="49">
        <f>_xlfn.XLOOKUP(L79,数据更新表!Z:Z,数据更新表!AB:AB)</f>
        <v>0</v>
      </c>
      <c r="DJ79" s="49">
        <f>_xlfn.XLOOKUP(L79,数据更新表!Z:Z,数据更新表!AC:AC)</f>
        <v>0</v>
      </c>
      <c r="DK79" s="49">
        <f>_xlfn.XLOOKUP(L79,数据更新表!Z:Z,数据更新表!AI:AI)</f>
        <v>0</v>
      </c>
      <c r="DX79" s="98">
        <f>_xlfn.XLOOKUP(L79,数据更新表!J:J,数据更新表!L:L)</f>
        <v>0</v>
      </c>
      <c r="DY79" s="98">
        <f>_xlfn.XLOOKUP(L79,数据更新表!J:J,数据更新表!M:M)</f>
        <v>0</v>
      </c>
      <c r="EC79" s="109">
        <f t="shared" si="34"/>
        <v>0</v>
      </c>
      <c r="EE79" s="110">
        <f t="shared" si="36"/>
        <v>0</v>
      </c>
      <c r="EJ79" s="101">
        <f t="shared" si="39"/>
        <v>0</v>
      </c>
    </row>
    <row r="80" hidden="1" customHeight="1" spans="2:148">
      <c r="G80" s="98" t="s">
        <v>411</v>
      </c>
      <c r="H80" s="116" t="s">
        <v>420</v>
      </c>
      <c r="J80" s="116"/>
      <c r="K80" s="116" t="s">
        <v>422</v>
      </c>
      <c r="M80" s="106" t="s">
        <v>183</v>
      </c>
      <c r="N80" s="52">
        <f>_xlfn.XLOOKUP(L80,数据更新表!J:J,数据更新表!K:K)</f>
        <v>0</v>
      </c>
      <c r="O80" s="52" t="str">
        <f>IFERROR(_xlfn.XLOOKUP(K80,数据更新表!A:A,数据更新表!B:B),"0")</f>
        <v>0</v>
      </c>
      <c r="P80" s="52">
        <f>_xlfn.XLOOKUP(K80,[1]库销表!$F:$F,[1]库销表!$L:$L)</f>
        <v>0</v>
      </c>
      <c r="Q80" s="103" t="e">
        <f t="shared" si="27"/>
        <v>#N/A</v>
      </c>
      <c r="S80" s="49" t="e">
        <f>_xlfn.XLOOKUP(K80,数据更新表!R:R,数据更新表!S:S)</f>
        <v>#N/A</v>
      </c>
      <c r="T80" s="49" t="e">
        <f>_xlfn.XLOOKUP(K80,数据更新表!V:V,数据更新表!W:W)</f>
        <v>#N/A</v>
      </c>
      <c r="V80" s="104" t="str">
        <f t="shared" si="28"/>
        <v>0</v>
      </c>
      <c r="W80" s="98" t="e">
        <f t="shared" si="29"/>
        <v>#N/A</v>
      </c>
      <c r="X80" s="98">
        <f t="shared" si="30"/>
        <v>0</v>
      </c>
      <c r="AF80" s="49">
        <f t="shared" si="31"/>
        <v>0</v>
      </c>
      <c r="BS80" s="52">
        <f>_xlfn.XLOOKUP(K80,[1]库销表!$F:$F,[1]库销表!$L:$L)</f>
        <v>0</v>
      </c>
      <c r="BT80" s="52">
        <f t="shared" si="32"/>
        <v>0</v>
      </c>
      <c r="BU80" s="49" cm="1">
        <f t="array" ref="BU80:CD80">_xlfn.XLOOKUP(K80,[1]库销表!$F:$F,[1]库销表!$HT:$IC)</f>
        <v>0</v>
      </c>
      <c r="BV80" s="49">
        <v>0</v>
      </c>
      <c r="BW80" s="49">
        <v>0</v>
      </c>
      <c r="BX80" s="49">
        <v>0</v>
      </c>
      <c r="BY80" s="49">
        <v>0</v>
      </c>
      <c r="BZ80" s="49">
        <v>0</v>
      </c>
      <c r="CA80" s="49">
        <v>0</v>
      </c>
      <c r="CB80" s="49">
        <v>0</v>
      </c>
      <c r="CC80" s="49">
        <v>0</v>
      </c>
      <c r="CD80" s="49">
        <v>0</v>
      </c>
      <c r="CW80" s="52">
        <f>_xlfn.XLOOKUP(K80,[1]库销表!$F:$F,[1]库销表!$IE:$IE)</f>
        <v>0</v>
      </c>
      <c r="CX80" s="52">
        <f>_xlfn.XLOOKUP(K80,[1]库销表!$F:$F,[1]库销表!$IF:$IF)</f>
        <v>0</v>
      </c>
      <c r="CY80" s="105">
        <f>_xlfn.XLOOKUP(K80,[1]库销表!$F:$F,[1]库销表!$FL:$FL)</f>
        <v>0</v>
      </c>
      <c r="CZ80" s="52" t="e">
        <f>_xlfn.XLOOKUP(K80,数据更新表!E:E,数据更新表!F:F)</f>
        <v>#N/A</v>
      </c>
      <c r="DA80" s="52" t="e">
        <v>#N/A</v>
      </c>
      <c r="DB80" s="52" t="e">
        <f>_xlfn.XLOOKUP(K80,数据更新表!E:E,数据更新表!G:G)</f>
        <v>#N/A</v>
      </c>
      <c r="DC80" s="106">
        <f>_xlfn.XLOOKUP(L80,数据更新表!Z:Z,数据更新表!AH:AH)</f>
        <v>0</v>
      </c>
      <c r="DD80" s="49">
        <f>_xlfn.XLOOKUP(L80,数据更新表!Z:Z,数据更新表!AE:AE)</f>
        <v>0</v>
      </c>
      <c r="DE80" s="49">
        <f>_xlfn.XLOOKUP(L80,数据更新表!Z:Z,数据更新表!AF:AF)</f>
        <v>0</v>
      </c>
      <c r="DF80" s="49" t="e">
        <f>_xlfn.XLOOKUP(K80,数据更新表!Z:Z,数据更新表!AG:AG)</f>
        <v>#N/A</v>
      </c>
      <c r="DG80" s="49">
        <f>_xlfn.XLOOKUP(L80,数据更新表!Z:Z,数据更新表!AD:AD)</f>
        <v>0</v>
      </c>
      <c r="DH80" s="49">
        <f>_xlfn.XLOOKUP(L80,数据更新表!Z:Z,数据更新表!AA:AA)</f>
        <v>0</v>
      </c>
      <c r="DI80" s="49">
        <f>_xlfn.XLOOKUP(L80,数据更新表!Z:Z,数据更新表!AB:AB)</f>
        <v>0</v>
      </c>
      <c r="DJ80" s="49">
        <f>_xlfn.XLOOKUP(L80,数据更新表!Z:Z,数据更新表!AC:AC)</f>
        <v>0</v>
      </c>
      <c r="DK80" s="49">
        <f>_xlfn.XLOOKUP(L80,数据更新表!Z:Z,数据更新表!AI:AI)</f>
        <v>0</v>
      </c>
      <c r="DX80" s="98">
        <f>_xlfn.XLOOKUP(L80,数据更新表!J:J,数据更新表!L:L)</f>
        <v>0</v>
      </c>
      <c r="DY80" s="98">
        <f>_xlfn.XLOOKUP(L80,数据更新表!J:J,数据更新表!M:M)</f>
        <v>0</v>
      </c>
      <c r="EC80" s="109">
        <f t="shared" si="34"/>
        <v>0</v>
      </c>
      <c r="EE80" s="110">
        <f t="shared" si="36"/>
        <v>0</v>
      </c>
      <c r="EJ80" s="101">
        <f t="shared" si="39"/>
        <v>0</v>
      </c>
    </row>
    <row r="81" hidden="1" customHeight="1" spans="7:140">
      <c r="G81" s="98" t="s">
        <v>411</v>
      </c>
      <c r="H81" s="116" t="s">
        <v>424</v>
      </c>
      <c r="J81" s="116"/>
      <c r="K81" s="116" t="s">
        <v>426</v>
      </c>
      <c r="M81" s="106" t="s">
        <v>183</v>
      </c>
      <c r="N81" s="52">
        <f>_xlfn.XLOOKUP(L81,数据更新表!J:J,数据更新表!K:K)</f>
        <v>0</v>
      </c>
      <c r="O81" s="52" t="str">
        <f>IFERROR(_xlfn.XLOOKUP(K81,数据更新表!A:A,数据更新表!B:B),"0")</f>
        <v>0</v>
      </c>
      <c r="P81" s="52">
        <f>_xlfn.XLOOKUP(K81,[1]库销表!$F:$F,[1]库销表!$L:$L)</f>
        <v>0</v>
      </c>
      <c r="Q81" s="103" t="e">
        <f t="shared" si="27"/>
        <v>#N/A</v>
      </c>
      <c r="S81" s="49" t="e">
        <f>_xlfn.XLOOKUP(K81,数据更新表!R:R,数据更新表!S:S)</f>
        <v>#N/A</v>
      </c>
      <c r="T81" s="49" t="e">
        <f>_xlfn.XLOOKUP(K81,数据更新表!V:V,数据更新表!W:W)</f>
        <v>#N/A</v>
      </c>
      <c r="V81" s="104" t="str">
        <f t="shared" si="28"/>
        <v>0</v>
      </c>
      <c r="W81" s="98" t="e">
        <f t="shared" si="29"/>
        <v>#N/A</v>
      </c>
      <c r="X81" s="98">
        <f t="shared" si="30"/>
        <v>0</v>
      </c>
      <c r="AF81" s="49">
        <f t="shared" si="31"/>
        <v>0</v>
      </c>
      <c r="BS81" s="52">
        <f>_xlfn.XLOOKUP(K81,[1]库销表!$F:$F,[1]库销表!$L:$L)</f>
        <v>0</v>
      </c>
      <c r="BT81" s="52">
        <f t="shared" si="32"/>
        <v>0</v>
      </c>
      <c r="BU81" s="49" cm="1">
        <f t="array" ref="BU81:CD81">_xlfn.XLOOKUP(K81,[1]库销表!$F:$F,[1]库销表!$HT:$IC)</f>
        <v>0</v>
      </c>
      <c r="BV81" s="49">
        <v>0</v>
      </c>
      <c r="BW81" s="49">
        <v>0</v>
      </c>
      <c r="BX81" s="49">
        <v>0</v>
      </c>
      <c r="BY81" s="49">
        <v>0</v>
      </c>
      <c r="BZ81" s="49">
        <v>0</v>
      </c>
      <c r="CA81" s="49">
        <v>0</v>
      </c>
      <c r="CB81" s="49">
        <v>0</v>
      </c>
      <c r="CC81" s="49">
        <v>0</v>
      </c>
      <c r="CD81" s="49">
        <v>0</v>
      </c>
      <c r="CW81" s="52">
        <f>_xlfn.XLOOKUP(K81,[1]库销表!$F:$F,[1]库销表!$IE:$IE)</f>
        <v>0</v>
      </c>
      <c r="CX81" s="52">
        <f>_xlfn.XLOOKUP(K81,[1]库销表!$F:$F,[1]库销表!$IF:$IF)</f>
        <v>0</v>
      </c>
      <c r="CY81" s="105">
        <f>_xlfn.XLOOKUP(K81,[1]库销表!$F:$F,[1]库销表!$FL:$FL)</f>
        <v>0</v>
      </c>
      <c r="CZ81" s="52" t="e">
        <f>_xlfn.XLOOKUP(K81,数据更新表!E:E,数据更新表!F:F)</f>
        <v>#N/A</v>
      </c>
      <c r="DA81" s="52" t="e">
        <v>#N/A</v>
      </c>
      <c r="DB81" s="52" t="e">
        <f>_xlfn.XLOOKUP(K81,数据更新表!E:E,数据更新表!G:G)</f>
        <v>#N/A</v>
      </c>
      <c r="DC81" s="106">
        <f>_xlfn.XLOOKUP(L81,数据更新表!Z:Z,数据更新表!AH:AH)</f>
        <v>0</v>
      </c>
      <c r="DD81" s="49">
        <f>_xlfn.XLOOKUP(L81,数据更新表!Z:Z,数据更新表!AE:AE)</f>
        <v>0</v>
      </c>
      <c r="DE81" s="49">
        <f>_xlfn.XLOOKUP(L81,数据更新表!Z:Z,数据更新表!AF:AF)</f>
        <v>0</v>
      </c>
      <c r="DF81" s="49" t="e">
        <f>_xlfn.XLOOKUP(K81,数据更新表!Z:Z,数据更新表!AG:AG)</f>
        <v>#N/A</v>
      </c>
      <c r="DG81" s="49">
        <f>_xlfn.XLOOKUP(L81,数据更新表!Z:Z,数据更新表!AD:AD)</f>
        <v>0</v>
      </c>
      <c r="DH81" s="49">
        <f>_xlfn.XLOOKUP(L81,数据更新表!Z:Z,数据更新表!AA:AA)</f>
        <v>0</v>
      </c>
      <c r="DI81" s="49">
        <f>_xlfn.XLOOKUP(L81,数据更新表!Z:Z,数据更新表!AB:AB)</f>
        <v>0</v>
      </c>
      <c r="DJ81" s="49">
        <f>_xlfn.XLOOKUP(L81,数据更新表!Z:Z,数据更新表!AC:AC)</f>
        <v>0</v>
      </c>
      <c r="DK81" s="49">
        <f>_xlfn.XLOOKUP(L81,数据更新表!Z:Z,数据更新表!AI:AI)</f>
        <v>0</v>
      </c>
      <c r="DX81" s="98">
        <f>_xlfn.XLOOKUP(L81,数据更新表!J:J,数据更新表!L:L)</f>
        <v>0</v>
      </c>
      <c r="DY81" s="98">
        <f>_xlfn.XLOOKUP(L81,数据更新表!J:J,数据更新表!M:M)</f>
        <v>0</v>
      </c>
      <c r="EC81" s="109">
        <f t="shared" si="34"/>
        <v>0</v>
      </c>
      <c r="EE81" s="110">
        <f t="shared" si="36"/>
        <v>0</v>
      </c>
      <c r="EJ81" s="101">
        <f t="shared" si="39"/>
        <v>0</v>
      </c>
    </row>
    <row r="82" hidden="1" customHeight="1" spans="7:140">
      <c r="G82" s="98" t="s">
        <v>411</v>
      </c>
      <c r="H82" s="116" t="s">
        <v>683</v>
      </c>
      <c r="J82" s="116"/>
      <c r="K82" s="116" t="s">
        <v>684</v>
      </c>
      <c r="M82" s="106" t="s">
        <v>183</v>
      </c>
      <c r="N82" s="52">
        <f>_xlfn.XLOOKUP(L82,数据更新表!J:J,数据更新表!K:K)</f>
        <v>0</v>
      </c>
      <c r="O82" s="52" t="str">
        <f>IFERROR(_xlfn.XLOOKUP(K82,数据更新表!A:A,数据更新表!B:B),"0")</f>
        <v>0</v>
      </c>
      <c r="P82" s="52" t="e">
        <f>_xlfn.XLOOKUP(K82,[1]库销表!$F:$F,[1]库销表!$L:$L)</f>
        <v>#N/A</v>
      </c>
      <c r="Q82" s="103" t="e">
        <f t="shared" si="27"/>
        <v>#N/A</v>
      </c>
      <c r="S82" s="49" t="e">
        <f>_xlfn.XLOOKUP(K82,数据更新表!R:R,数据更新表!S:S)</f>
        <v>#N/A</v>
      </c>
      <c r="T82" s="49" t="e">
        <f>_xlfn.XLOOKUP(K82,数据更新表!V:V,数据更新表!W:W)</f>
        <v>#N/A</v>
      </c>
      <c r="V82" s="104" t="str">
        <f t="shared" si="28"/>
        <v>0</v>
      </c>
      <c r="W82" s="98" t="e">
        <f t="shared" si="29"/>
        <v>#N/A</v>
      </c>
      <c r="X82" s="98" t="e">
        <f t="shared" si="30"/>
        <v>#N/A</v>
      </c>
      <c r="AF82" s="49">
        <f t="shared" si="31"/>
        <v>0</v>
      </c>
      <c r="BS82" s="52" t="e">
        <f>_xlfn.XLOOKUP(K82,[1]库销表!$F:$F,[1]库销表!$L:$L)</f>
        <v>#N/A</v>
      </c>
      <c r="BT82" s="52" t="e">
        <f t="shared" si="32"/>
        <v>#N/A</v>
      </c>
      <c r="BU82" s="49" t="e" cm="1">
        <f t="array" ref="BU82">_xlfn.XLOOKUP(K82,[1]库销表!$F:$F,[1]库销表!$HT:$IC)</f>
        <v>#N/A</v>
      </c>
      <c r="CW82" s="52" t="e">
        <f>_xlfn.XLOOKUP(K82,[1]库销表!$F:$F,[1]库销表!$IE:$IE)</f>
        <v>#N/A</v>
      </c>
      <c r="CX82" s="52" t="e">
        <f>_xlfn.XLOOKUP(K82,[1]库销表!$F:$F,[1]库销表!$IF:$IF)</f>
        <v>#N/A</v>
      </c>
      <c r="CY82" s="105" t="e">
        <f>_xlfn.XLOOKUP(K82,[1]库销表!$F:$F,[1]库销表!$FL:$FL)</f>
        <v>#N/A</v>
      </c>
      <c r="CZ82" s="52" t="e">
        <f>_xlfn.XLOOKUP(K82,数据更新表!E:E,数据更新表!F:F)</f>
        <v>#N/A</v>
      </c>
      <c r="DA82" s="52" t="e">
        <v>#N/A</v>
      </c>
      <c r="DB82" s="52" t="e">
        <f>_xlfn.XLOOKUP(K82,数据更新表!E:E,数据更新表!G:G)</f>
        <v>#N/A</v>
      </c>
      <c r="DC82" s="106">
        <f>_xlfn.XLOOKUP(L82,数据更新表!Z:Z,数据更新表!AH:AH)</f>
        <v>0</v>
      </c>
      <c r="DD82" s="49">
        <f>_xlfn.XLOOKUP(L82,数据更新表!Z:Z,数据更新表!AE:AE)</f>
        <v>0</v>
      </c>
      <c r="DE82" s="49">
        <f>_xlfn.XLOOKUP(L82,数据更新表!Z:Z,数据更新表!AF:AF)</f>
        <v>0</v>
      </c>
      <c r="DF82" s="49" t="e">
        <f>_xlfn.XLOOKUP(K82,数据更新表!Z:Z,数据更新表!AG:AG)</f>
        <v>#N/A</v>
      </c>
      <c r="DG82" s="49">
        <f>_xlfn.XLOOKUP(L82,数据更新表!Z:Z,数据更新表!AD:AD)</f>
        <v>0</v>
      </c>
      <c r="DH82" s="49">
        <f>_xlfn.XLOOKUP(L82,数据更新表!Z:Z,数据更新表!AA:AA)</f>
        <v>0</v>
      </c>
      <c r="DI82" s="49">
        <f>_xlfn.XLOOKUP(L82,数据更新表!Z:Z,数据更新表!AB:AB)</f>
        <v>0</v>
      </c>
      <c r="DJ82" s="49">
        <f>_xlfn.XLOOKUP(L82,数据更新表!Z:Z,数据更新表!AC:AC)</f>
        <v>0</v>
      </c>
      <c r="DK82" s="49">
        <f>_xlfn.XLOOKUP(L82,数据更新表!Z:Z,数据更新表!AI:AI)</f>
        <v>0</v>
      </c>
      <c r="DX82" s="98">
        <f>_xlfn.XLOOKUP(L82,数据更新表!J:J,数据更新表!L:L)</f>
        <v>0</v>
      </c>
      <c r="DY82" s="98">
        <f>_xlfn.XLOOKUP(L82,数据更新表!J:J,数据更新表!M:M)</f>
        <v>0</v>
      </c>
      <c r="EC82" s="109">
        <f t="shared" si="34"/>
        <v>0</v>
      </c>
      <c r="EE82" s="110">
        <f t="shared" si="36"/>
        <v>0</v>
      </c>
      <c r="EJ82" s="101">
        <f t="shared" si="39"/>
        <v>0</v>
      </c>
    </row>
    <row r="83" hidden="1" customHeight="1" spans="7:140">
      <c r="G83" s="98" t="s">
        <v>411</v>
      </c>
      <c r="H83" s="116" t="s">
        <v>428</v>
      </c>
      <c r="J83" s="116"/>
      <c r="K83" s="116" t="s">
        <v>430</v>
      </c>
      <c r="M83" s="106" t="s">
        <v>183</v>
      </c>
      <c r="N83" s="52">
        <f>_xlfn.XLOOKUP(L83,数据更新表!J:J,数据更新表!K:K)</f>
        <v>0</v>
      </c>
      <c r="O83" s="52" t="str">
        <f>IFERROR(_xlfn.XLOOKUP(K83,数据更新表!A:A,数据更新表!B:B),"0")</f>
        <v>0</v>
      </c>
      <c r="P83" s="52">
        <f>_xlfn.XLOOKUP(K83,[1]库销表!$F:$F,[1]库销表!$L:$L)</f>
        <v>0</v>
      </c>
      <c r="Q83" s="103" t="e">
        <f t="shared" si="27"/>
        <v>#N/A</v>
      </c>
      <c r="S83" s="49" t="e">
        <f>_xlfn.XLOOKUP(K83,数据更新表!R:R,数据更新表!S:S)</f>
        <v>#N/A</v>
      </c>
      <c r="T83" s="49" t="e">
        <f>_xlfn.XLOOKUP(K83,数据更新表!V:V,数据更新表!W:W)</f>
        <v>#N/A</v>
      </c>
      <c r="V83" s="104" t="str">
        <f t="shared" si="28"/>
        <v>0</v>
      </c>
      <c r="W83" s="98" t="e">
        <f t="shared" si="29"/>
        <v>#N/A</v>
      </c>
      <c r="X83" s="98">
        <f t="shared" si="30"/>
        <v>0</v>
      </c>
      <c r="AF83" s="49">
        <f t="shared" si="31"/>
        <v>0</v>
      </c>
      <c r="BS83" s="52">
        <f>_xlfn.XLOOKUP(K83,[1]库销表!$F:$F,[1]库销表!$L:$L)</f>
        <v>0</v>
      </c>
      <c r="BT83" s="52">
        <f t="shared" si="32"/>
        <v>0</v>
      </c>
      <c r="BU83" s="49" cm="1">
        <f t="array" ref="BU83:CD83">_xlfn.XLOOKUP(K83,[1]库销表!$F:$F,[1]库销表!$HT:$IC)</f>
        <v>0</v>
      </c>
      <c r="BV83" s="49">
        <v>0</v>
      </c>
      <c r="BW83" s="49">
        <v>0</v>
      </c>
      <c r="BX83" s="49">
        <v>0</v>
      </c>
      <c r="BY83" s="49">
        <v>0</v>
      </c>
      <c r="BZ83" s="49">
        <v>0</v>
      </c>
      <c r="CA83" s="49">
        <v>0</v>
      </c>
      <c r="CB83" s="49">
        <v>0</v>
      </c>
      <c r="CC83" s="49">
        <v>0</v>
      </c>
      <c r="CD83" s="49">
        <v>0</v>
      </c>
      <c r="CW83" s="52">
        <f>_xlfn.XLOOKUP(K83,[1]库销表!$F:$F,[1]库销表!$IE:$IE)</f>
        <v>0</v>
      </c>
      <c r="CX83" s="52">
        <f>_xlfn.XLOOKUP(K83,[1]库销表!$F:$F,[1]库销表!$IF:$IF)</f>
        <v>0</v>
      </c>
      <c r="CY83" s="105">
        <f>_xlfn.XLOOKUP(K83,[1]库销表!$F:$F,[1]库销表!$FL:$FL)</f>
        <v>0</v>
      </c>
      <c r="CZ83" s="52" t="e">
        <f>_xlfn.XLOOKUP(K83,数据更新表!E:E,数据更新表!F:F)</f>
        <v>#N/A</v>
      </c>
      <c r="DA83" s="52" t="e">
        <v>#N/A</v>
      </c>
      <c r="DB83" s="52" t="e">
        <f>_xlfn.XLOOKUP(K83,数据更新表!E:E,数据更新表!G:G)</f>
        <v>#N/A</v>
      </c>
      <c r="DC83" s="106">
        <f>_xlfn.XLOOKUP(L83,数据更新表!Z:Z,数据更新表!AH:AH)</f>
        <v>0</v>
      </c>
      <c r="DD83" s="49">
        <f>_xlfn.XLOOKUP(L83,数据更新表!Z:Z,数据更新表!AE:AE)</f>
        <v>0</v>
      </c>
      <c r="DE83" s="49">
        <f>_xlfn.XLOOKUP(L83,数据更新表!Z:Z,数据更新表!AF:AF)</f>
        <v>0</v>
      </c>
      <c r="DF83" s="49" t="e">
        <f>_xlfn.XLOOKUP(K83,数据更新表!Z:Z,数据更新表!AG:AG)</f>
        <v>#N/A</v>
      </c>
      <c r="DG83" s="49">
        <f>_xlfn.XLOOKUP(L83,数据更新表!Z:Z,数据更新表!AD:AD)</f>
        <v>0</v>
      </c>
      <c r="DH83" s="49">
        <f>_xlfn.XLOOKUP(L83,数据更新表!Z:Z,数据更新表!AA:AA)</f>
        <v>0</v>
      </c>
      <c r="DI83" s="49">
        <f>_xlfn.XLOOKUP(L83,数据更新表!Z:Z,数据更新表!AB:AB)</f>
        <v>0</v>
      </c>
      <c r="DJ83" s="49">
        <f>_xlfn.XLOOKUP(L83,数据更新表!Z:Z,数据更新表!AC:AC)</f>
        <v>0</v>
      </c>
      <c r="DK83" s="49">
        <f>_xlfn.XLOOKUP(L83,数据更新表!Z:Z,数据更新表!AI:AI)</f>
        <v>0</v>
      </c>
      <c r="DX83" s="98">
        <f>_xlfn.XLOOKUP(L83,数据更新表!J:J,数据更新表!L:L)</f>
        <v>0</v>
      </c>
      <c r="DY83" s="98">
        <f>_xlfn.XLOOKUP(L83,数据更新表!J:J,数据更新表!M:M)</f>
        <v>0</v>
      </c>
      <c r="EC83" s="109">
        <f t="shared" si="34"/>
        <v>0</v>
      </c>
      <c r="EE83" s="110">
        <f t="shared" si="36"/>
        <v>0</v>
      </c>
      <c r="EJ83" s="101">
        <f t="shared" si="39"/>
        <v>0</v>
      </c>
    </row>
    <row r="84" hidden="1" customHeight="1" spans="7:140">
      <c r="G84" s="98" t="s">
        <v>411</v>
      </c>
      <c r="H84" s="116" t="s">
        <v>432</v>
      </c>
      <c r="J84" s="116"/>
      <c r="K84" s="116" t="s">
        <v>434</v>
      </c>
      <c r="M84" s="106" t="s">
        <v>183</v>
      </c>
      <c r="N84" s="52">
        <f>_xlfn.XLOOKUP(L84,数据更新表!J:J,数据更新表!K:K)</f>
        <v>0</v>
      </c>
      <c r="O84" s="52" t="str">
        <f>IFERROR(_xlfn.XLOOKUP(K84,数据更新表!A:A,数据更新表!B:B),"0")</f>
        <v>0</v>
      </c>
      <c r="P84" s="52">
        <f>_xlfn.XLOOKUP(K84,[1]库销表!$F:$F,[1]库销表!$L:$L)</f>
        <v>0</v>
      </c>
      <c r="Q84" s="103" t="e">
        <f t="shared" si="27"/>
        <v>#N/A</v>
      </c>
      <c r="S84" s="49" t="e">
        <f>_xlfn.XLOOKUP(K84,数据更新表!R:R,数据更新表!S:S)</f>
        <v>#N/A</v>
      </c>
      <c r="T84" s="49" t="e">
        <f>_xlfn.XLOOKUP(K84,数据更新表!V:V,数据更新表!W:W)</f>
        <v>#N/A</v>
      </c>
      <c r="V84" s="104" t="str">
        <f t="shared" si="28"/>
        <v>0</v>
      </c>
      <c r="W84" s="98" t="e">
        <f t="shared" si="29"/>
        <v>#N/A</v>
      </c>
      <c r="X84" s="98">
        <f t="shared" si="30"/>
        <v>0</v>
      </c>
      <c r="AF84" s="49">
        <f t="shared" si="31"/>
        <v>0</v>
      </c>
      <c r="BS84" s="52">
        <f>_xlfn.XLOOKUP(K84,[1]库销表!$F:$F,[1]库销表!$L:$L)</f>
        <v>0</v>
      </c>
      <c r="BT84" s="52">
        <f t="shared" si="32"/>
        <v>0</v>
      </c>
      <c r="BU84" s="49" cm="1">
        <f t="array" ref="BU84:CD84">_xlfn.XLOOKUP(K84,[1]库销表!$F:$F,[1]库销表!$HT:$IC)</f>
        <v>0</v>
      </c>
      <c r="BV84" s="49">
        <v>0</v>
      </c>
      <c r="BW84" s="49">
        <v>0</v>
      </c>
      <c r="BX84" s="49">
        <v>0</v>
      </c>
      <c r="BY84" s="49">
        <v>0</v>
      </c>
      <c r="BZ84" s="49">
        <v>0</v>
      </c>
      <c r="CA84" s="49">
        <v>0</v>
      </c>
      <c r="CB84" s="49">
        <v>0</v>
      </c>
      <c r="CC84" s="49">
        <v>0</v>
      </c>
      <c r="CD84" s="49">
        <v>0</v>
      </c>
      <c r="CW84" s="52">
        <f>_xlfn.XLOOKUP(K84,[1]库销表!$F:$F,[1]库销表!$IE:$IE)</f>
        <v>0</v>
      </c>
      <c r="CX84" s="52">
        <f>_xlfn.XLOOKUP(K84,[1]库销表!$F:$F,[1]库销表!$IF:$IF)</f>
        <v>0</v>
      </c>
      <c r="CY84" s="105">
        <f>_xlfn.XLOOKUP(K84,[1]库销表!$F:$F,[1]库销表!$FL:$FL)</f>
        <v>0</v>
      </c>
      <c r="CZ84" s="52" t="e">
        <f>_xlfn.XLOOKUP(K84,数据更新表!E:E,数据更新表!F:F)</f>
        <v>#N/A</v>
      </c>
      <c r="DA84" s="52" t="e">
        <v>#N/A</v>
      </c>
      <c r="DB84" s="52" t="e">
        <f>_xlfn.XLOOKUP(K84,数据更新表!E:E,数据更新表!G:G)</f>
        <v>#N/A</v>
      </c>
      <c r="DC84" s="106">
        <f>_xlfn.XLOOKUP(L84,数据更新表!Z:Z,数据更新表!AH:AH)</f>
        <v>0</v>
      </c>
      <c r="DD84" s="49">
        <f>_xlfn.XLOOKUP(L84,数据更新表!Z:Z,数据更新表!AE:AE)</f>
        <v>0</v>
      </c>
      <c r="DE84" s="49">
        <f>_xlfn.XLOOKUP(L84,数据更新表!Z:Z,数据更新表!AF:AF)</f>
        <v>0</v>
      </c>
      <c r="DF84" s="49" t="e">
        <f>_xlfn.XLOOKUP(K84,数据更新表!Z:Z,数据更新表!AG:AG)</f>
        <v>#N/A</v>
      </c>
      <c r="DG84" s="49">
        <f>_xlfn.XLOOKUP(L84,数据更新表!Z:Z,数据更新表!AD:AD)</f>
        <v>0</v>
      </c>
      <c r="DH84" s="49">
        <f>_xlfn.XLOOKUP(L84,数据更新表!Z:Z,数据更新表!AA:AA)</f>
        <v>0</v>
      </c>
      <c r="DI84" s="49">
        <f>_xlfn.XLOOKUP(L84,数据更新表!Z:Z,数据更新表!AB:AB)</f>
        <v>0</v>
      </c>
      <c r="DJ84" s="49">
        <f>_xlfn.XLOOKUP(L84,数据更新表!Z:Z,数据更新表!AC:AC)</f>
        <v>0</v>
      </c>
      <c r="DK84" s="49">
        <f>_xlfn.XLOOKUP(L84,数据更新表!Z:Z,数据更新表!AI:AI)</f>
        <v>0</v>
      </c>
      <c r="DX84" s="98">
        <f>_xlfn.XLOOKUP(L84,数据更新表!J:J,数据更新表!L:L)</f>
        <v>0</v>
      </c>
      <c r="DY84" s="98">
        <f>_xlfn.XLOOKUP(L84,数据更新表!J:J,数据更新表!M:M)</f>
        <v>0</v>
      </c>
      <c r="EC84" s="109">
        <f t="shared" si="34"/>
        <v>0</v>
      </c>
      <c r="EE84" s="110">
        <f t="shared" si="36"/>
        <v>0</v>
      </c>
      <c r="EJ84" s="101">
        <f t="shared" si="39"/>
        <v>0</v>
      </c>
    </row>
    <row r="85" hidden="1" customHeight="1" spans="7:140">
      <c r="G85" s="98" t="s">
        <v>411</v>
      </c>
      <c r="H85" s="116" t="s">
        <v>436</v>
      </c>
      <c r="J85" s="116"/>
      <c r="K85" s="116" t="s">
        <v>438</v>
      </c>
      <c r="M85" s="106" t="s">
        <v>183</v>
      </c>
      <c r="N85" s="52">
        <f>_xlfn.XLOOKUP(L85,数据更新表!J:J,数据更新表!K:K)</f>
        <v>0</v>
      </c>
      <c r="O85" s="52" t="str">
        <f>IFERROR(_xlfn.XLOOKUP(K85,数据更新表!A:A,数据更新表!B:B),"0")</f>
        <v>0</v>
      </c>
      <c r="P85" s="52">
        <f>_xlfn.XLOOKUP(K85,[1]库销表!$F:$F,[1]库销表!$L:$L)</f>
        <v>0</v>
      </c>
      <c r="Q85" s="103" t="e">
        <f t="shared" si="27"/>
        <v>#N/A</v>
      </c>
      <c r="S85" s="49" t="e">
        <f>_xlfn.XLOOKUP(K85,数据更新表!R:R,数据更新表!S:S)</f>
        <v>#N/A</v>
      </c>
      <c r="T85" s="49" t="e">
        <f>_xlfn.XLOOKUP(K85,数据更新表!V:V,数据更新表!W:W)</f>
        <v>#N/A</v>
      </c>
      <c r="V85" s="104" t="str">
        <f t="shared" si="28"/>
        <v>0</v>
      </c>
      <c r="W85" s="98" t="e">
        <f t="shared" si="29"/>
        <v>#N/A</v>
      </c>
      <c r="X85" s="98">
        <f t="shared" si="30"/>
        <v>0</v>
      </c>
      <c r="AF85" s="49">
        <f t="shared" si="31"/>
        <v>0</v>
      </c>
      <c r="BS85" s="52">
        <f>_xlfn.XLOOKUP(K85,[1]库销表!$F:$F,[1]库销表!$L:$L)</f>
        <v>0</v>
      </c>
      <c r="BT85" s="52">
        <f t="shared" si="32"/>
        <v>0</v>
      </c>
      <c r="BU85" s="49" cm="1">
        <f t="array" ref="BU85:CD85">_xlfn.XLOOKUP(K85,[1]库销表!$F:$F,[1]库销表!$HT:$IC)</f>
        <v>0</v>
      </c>
      <c r="BV85" s="49">
        <v>0</v>
      </c>
      <c r="BW85" s="49">
        <v>0</v>
      </c>
      <c r="BX85" s="49">
        <v>0</v>
      </c>
      <c r="BY85" s="49">
        <v>0</v>
      </c>
      <c r="BZ85" s="49">
        <v>0</v>
      </c>
      <c r="CA85" s="49">
        <v>0</v>
      </c>
      <c r="CB85" s="49">
        <v>0</v>
      </c>
      <c r="CC85" s="49">
        <v>0</v>
      </c>
      <c r="CD85" s="49">
        <v>0</v>
      </c>
      <c r="CW85" s="52">
        <f>_xlfn.XLOOKUP(K85,[1]库销表!$F:$F,[1]库销表!$IE:$IE)</f>
        <v>0</v>
      </c>
      <c r="CX85" s="52">
        <f>_xlfn.XLOOKUP(K85,[1]库销表!$F:$F,[1]库销表!$IF:$IF)</f>
        <v>0</v>
      </c>
      <c r="CY85" s="105">
        <f>_xlfn.XLOOKUP(K85,[1]库销表!$F:$F,[1]库销表!$FL:$FL)</f>
        <v>0</v>
      </c>
      <c r="CZ85" s="52" t="e">
        <f>_xlfn.XLOOKUP(K85,数据更新表!E:E,数据更新表!F:F)</f>
        <v>#N/A</v>
      </c>
      <c r="DA85" s="52" t="e">
        <v>#N/A</v>
      </c>
      <c r="DB85" s="52" t="e">
        <f>_xlfn.XLOOKUP(K85,数据更新表!E:E,数据更新表!G:G)</f>
        <v>#N/A</v>
      </c>
      <c r="DC85" s="106">
        <f>_xlfn.XLOOKUP(L85,数据更新表!Z:Z,数据更新表!AH:AH)</f>
        <v>0</v>
      </c>
      <c r="DD85" s="49">
        <f>_xlfn.XLOOKUP(L85,数据更新表!Z:Z,数据更新表!AE:AE)</f>
        <v>0</v>
      </c>
      <c r="DE85" s="49">
        <f>_xlfn.XLOOKUP(L85,数据更新表!Z:Z,数据更新表!AF:AF)</f>
        <v>0</v>
      </c>
      <c r="DF85" s="49" t="e">
        <f>_xlfn.XLOOKUP(K85,数据更新表!Z:Z,数据更新表!AG:AG)</f>
        <v>#N/A</v>
      </c>
      <c r="DG85" s="49">
        <f>_xlfn.XLOOKUP(L85,数据更新表!Z:Z,数据更新表!AD:AD)</f>
        <v>0</v>
      </c>
      <c r="DH85" s="49">
        <f>_xlfn.XLOOKUP(L85,数据更新表!Z:Z,数据更新表!AA:AA)</f>
        <v>0</v>
      </c>
      <c r="DI85" s="49">
        <f>_xlfn.XLOOKUP(L85,数据更新表!Z:Z,数据更新表!AB:AB)</f>
        <v>0</v>
      </c>
      <c r="DJ85" s="49">
        <f>_xlfn.XLOOKUP(L85,数据更新表!Z:Z,数据更新表!AC:AC)</f>
        <v>0</v>
      </c>
      <c r="DK85" s="49">
        <f>_xlfn.XLOOKUP(L85,数据更新表!Z:Z,数据更新表!AI:AI)</f>
        <v>0</v>
      </c>
      <c r="DX85" s="98">
        <f>_xlfn.XLOOKUP(L85,数据更新表!J:J,数据更新表!L:L)</f>
        <v>0</v>
      </c>
      <c r="DY85" s="98">
        <f>_xlfn.XLOOKUP(L85,数据更新表!J:J,数据更新表!M:M)</f>
        <v>0</v>
      </c>
      <c r="EC85" s="109">
        <f t="shared" si="34"/>
        <v>0</v>
      </c>
      <c r="EE85" s="110">
        <f t="shared" si="36"/>
        <v>0</v>
      </c>
      <c r="EJ85" s="101">
        <f t="shared" si="39"/>
        <v>0</v>
      </c>
    </row>
    <row r="86" hidden="1" customHeight="1" spans="7:140">
      <c r="G86" s="98" t="s">
        <v>411</v>
      </c>
      <c r="H86" s="116" t="s">
        <v>685</v>
      </c>
      <c r="J86" s="116"/>
      <c r="K86" s="116" t="s">
        <v>686</v>
      </c>
      <c r="M86" s="106" t="s">
        <v>183</v>
      </c>
      <c r="N86" s="52">
        <f>_xlfn.XLOOKUP(L86,数据更新表!J:J,数据更新表!K:K)</f>
        <v>0</v>
      </c>
      <c r="O86" s="52" t="str">
        <f>IFERROR(_xlfn.XLOOKUP(K86,数据更新表!A:A,数据更新表!B:B),"0")</f>
        <v>0</v>
      </c>
      <c r="P86" s="52" t="e">
        <f>_xlfn.XLOOKUP(K86,[1]库销表!$F:$F,[1]库销表!$L:$L)</f>
        <v>#N/A</v>
      </c>
      <c r="Q86" s="103" t="e">
        <f t="shared" si="27"/>
        <v>#N/A</v>
      </c>
      <c r="S86" s="49" t="e">
        <f>_xlfn.XLOOKUP(K86,数据更新表!R:R,数据更新表!S:S)</f>
        <v>#N/A</v>
      </c>
      <c r="T86" s="49" t="e">
        <f>_xlfn.XLOOKUP(K86,数据更新表!V:V,数据更新表!W:W)</f>
        <v>#N/A</v>
      </c>
      <c r="V86" s="104" t="str">
        <f t="shared" si="28"/>
        <v>0</v>
      </c>
      <c r="W86" s="98" t="e">
        <f t="shared" si="29"/>
        <v>#N/A</v>
      </c>
      <c r="X86" s="98" t="e">
        <f t="shared" si="30"/>
        <v>#N/A</v>
      </c>
      <c r="AF86" s="49">
        <f t="shared" si="31"/>
        <v>0</v>
      </c>
      <c r="BS86" s="52" t="e">
        <f>_xlfn.XLOOKUP(K86,[1]库销表!$F:$F,[1]库销表!$L:$L)</f>
        <v>#N/A</v>
      </c>
      <c r="BT86" s="52" t="e">
        <f t="shared" si="32"/>
        <v>#N/A</v>
      </c>
      <c r="BU86" s="49" t="e" cm="1">
        <f t="array" ref="BU86">_xlfn.XLOOKUP(K86,[1]库销表!$F:$F,[1]库销表!$HT:$IC)</f>
        <v>#N/A</v>
      </c>
      <c r="CW86" s="52" t="e">
        <f>_xlfn.XLOOKUP(K86,[1]库销表!$F:$F,[1]库销表!$IE:$IE)</f>
        <v>#N/A</v>
      </c>
      <c r="CX86" s="52" t="e">
        <f>_xlfn.XLOOKUP(K86,[1]库销表!$F:$F,[1]库销表!$IF:$IF)</f>
        <v>#N/A</v>
      </c>
      <c r="CY86" s="105" t="e">
        <f>_xlfn.XLOOKUP(K86,[1]库销表!$F:$F,[1]库销表!$FL:$FL)</f>
        <v>#N/A</v>
      </c>
      <c r="CZ86" s="52" t="e">
        <f>_xlfn.XLOOKUP(K86,数据更新表!E:E,数据更新表!F:F)</f>
        <v>#N/A</v>
      </c>
      <c r="DA86" s="52" t="e">
        <v>#N/A</v>
      </c>
      <c r="DB86" s="52" t="e">
        <f>_xlfn.XLOOKUP(K86,数据更新表!E:E,数据更新表!G:G)</f>
        <v>#N/A</v>
      </c>
      <c r="DC86" s="106">
        <f>_xlfn.XLOOKUP(L86,数据更新表!Z:Z,数据更新表!AH:AH)</f>
        <v>0</v>
      </c>
      <c r="DD86" s="49">
        <f>_xlfn.XLOOKUP(L86,数据更新表!Z:Z,数据更新表!AE:AE)</f>
        <v>0</v>
      </c>
      <c r="DE86" s="49">
        <f>_xlfn.XLOOKUP(L86,数据更新表!Z:Z,数据更新表!AF:AF)</f>
        <v>0</v>
      </c>
      <c r="DF86" s="49" t="e">
        <f>_xlfn.XLOOKUP(K86,数据更新表!Z:Z,数据更新表!AG:AG)</f>
        <v>#N/A</v>
      </c>
      <c r="DG86" s="49">
        <f>_xlfn.XLOOKUP(L86,数据更新表!Z:Z,数据更新表!AD:AD)</f>
        <v>0</v>
      </c>
      <c r="DH86" s="49">
        <f>_xlfn.XLOOKUP(L86,数据更新表!Z:Z,数据更新表!AA:AA)</f>
        <v>0</v>
      </c>
      <c r="DI86" s="49">
        <f>_xlfn.XLOOKUP(L86,数据更新表!Z:Z,数据更新表!AB:AB)</f>
        <v>0</v>
      </c>
      <c r="DJ86" s="49">
        <f>_xlfn.XLOOKUP(L86,数据更新表!Z:Z,数据更新表!AC:AC)</f>
        <v>0</v>
      </c>
      <c r="DK86" s="49">
        <f>_xlfn.XLOOKUP(L86,数据更新表!Z:Z,数据更新表!AI:AI)</f>
        <v>0</v>
      </c>
      <c r="DX86" s="98">
        <f>_xlfn.XLOOKUP(L86,数据更新表!J:J,数据更新表!L:L)</f>
        <v>0</v>
      </c>
      <c r="DY86" s="98">
        <f>_xlfn.XLOOKUP(L86,数据更新表!J:J,数据更新表!M:M)</f>
        <v>0</v>
      </c>
      <c r="EC86" s="109">
        <f t="shared" si="34"/>
        <v>0</v>
      </c>
      <c r="EE86" s="110">
        <f t="shared" si="36"/>
        <v>0</v>
      </c>
      <c r="EJ86" s="101">
        <f t="shared" si="39"/>
        <v>0</v>
      </c>
    </row>
    <row r="87" hidden="1" customHeight="1" spans="7:140">
      <c r="G87" s="98" t="s">
        <v>440</v>
      </c>
      <c r="H87" s="116" t="s">
        <v>441</v>
      </c>
      <c r="J87" s="116"/>
      <c r="K87" s="116" t="s">
        <v>443</v>
      </c>
      <c r="M87" s="106" t="s">
        <v>183</v>
      </c>
      <c r="N87" s="52">
        <f>_xlfn.XLOOKUP(L87,数据更新表!J:J,数据更新表!K:K)</f>
        <v>0</v>
      </c>
      <c r="O87" s="52" t="str">
        <f>IFERROR(_xlfn.XLOOKUP(K87,数据更新表!A:A,数据更新表!B:B),"0")</f>
        <v>0</v>
      </c>
      <c r="P87" s="52">
        <f>_xlfn.XLOOKUP(K87,[1]库销表!$F:$F,[1]库销表!$L:$L)</f>
        <v>0</v>
      </c>
      <c r="Q87" s="103" t="e">
        <f t="shared" si="27"/>
        <v>#N/A</v>
      </c>
      <c r="S87" s="49" t="e">
        <f>_xlfn.XLOOKUP(K87,数据更新表!R:R,数据更新表!S:S)</f>
        <v>#N/A</v>
      </c>
      <c r="T87" s="49" t="e">
        <f>_xlfn.XLOOKUP(K87,数据更新表!V:V,数据更新表!W:W)</f>
        <v>#N/A</v>
      </c>
      <c r="V87" s="104" t="str">
        <f t="shared" si="28"/>
        <v>0</v>
      </c>
      <c r="W87" s="98" t="e">
        <f t="shared" si="29"/>
        <v>#N/A</v>
      </c>
      <c r="X87" s="98">
        <f t="shared" si="30"/>
        <v>0</v>
      </c>
      <c r="AF87" s="49">
        <f t="shared" si="31"/>
        <v>0</v>
      </c>
      <c r="BS87" s="52">
        <f>_xlfn.XLOOKUP(K87,[1]库销表!$F:$F,[1]库销表!$L:$L)</f>
        <v>0</v>
      </c>
      <c r="BT87" s="52">
        <f t="shared" si="32"/>
        <v>0</v>
      </c>
      <c r="BU87" s="49" cm="1">
        <f t="array" ref="BU87:CD87">_xlfn.XLOOKUP(K87,[1]库销表!$F:$F,[1]库销表!$HT:$IC)</f>
        <v>0</v>
      </c>
      <c r="BV87" s="49">
        <v>0</v>
      </c>
      <c r="BW87" s="49">
        <v>0</v>
      </c>
      <c r="BX87" s="49">
        <v>0</v>
      </c>
      <c r="BY87" s="49">
        <v>0</v>
      </c>
      <c r="BZ87" s="49">
        <v>0</v>
      </c>
      <c r="CA87" s="49">
        <v>0</v>
      </c>
      <c r="CB87" s="49">
        <v>0</v>
      </c>
      <c r="CC87" s="49">
        <v>0</v>
      </c>
      <c r="CD87" s="49">
        <v>0</v>
      </c>
      <c r="CW87" s="52">
        <f>_xlfn.XLOOKUP(K87,[1]库销表!$F:$F,[1]库销表!$IE:$IE)</f>
        <v>0</v>
      </c>
      <c r="CX87" s="52">
        <f>_xlfn.XLOOKUP(K87,[1]库销表!$F:$F,[1]库销表!$IF:$IF)</f>
        <v>0</v>
      </c>
      <c r="CY87" s="105">
        <f>_xlfn.XLOOKUP(K87,[1]库销表!$F:$F,[1]库销表!$FL:$FL)</f>
        <v>0</v>
      </c>
      <c r="CZ87" s="52" t="e">
        <f>_xlfn.XLOOKUP(K87,数据更新表!E:E,数据更新表!F:F)</f>
        <v>#N/A</v>
      </c>
      <c r="DA87" s="52" t="e">
        <v>#N/A</v>
      </c>
      <c r="DB87" s="52" t="e">
        <f>_xlfn.XLOOKUP(K87,数据更新表!E:E,数据更新表!G:G)</f>
        <v>#N/A</v>
      </c>
      <c r="DC87" s="106">
        <f>_xlfn.XLOOKUP(L87,数据更新表!Z:Z,数据更新表!AH:AH)</f>
        <v>0</v>
      </c>
      <c r="DD87" s="49">
        <f>_xlfn.XLOOKUP(L87,数据更新表!Z:Z,数据更新表!AE:AE)</f>
        <v>0</v>
      </c>
      <c r="DE87" s="49">
        <f>_xlfn.XLOOKUP(L87,数据更新表!Z:Z,数据更新表!AF:AF)</f>
        <v>0</v>
      </c>
      <c r="DF87" s="49" t="e">
        <f>_xlfn.XLOOKUP(K87,数据更新表!Z:Z,数据更新表!AG:AG)</f>
        <v>#N/A</v>
      </c>
      <c r="DG87" s="49">
        <f>_xlfn.XLOOKUP(L87,数据更新表!Z:Z,数据更新表!AD:AD)</f>
        <v>0</v>
      </c>
      <c r="DH87" s="49">
        <f>_xlfn.XLOOKUP(L87,数据更新表!Z:Z,数据更新表!AA:AA)</f>
        <v>0</v>
      </c>
      <c r="DI87" s="49">
        <f>_xlfn.XLOOKUP(L87,数据更新表!Z:Z,数据更新表!AB:AB)</f>
        <v>0</v>
      </c>
      <c r="DJ87" s="49">
        <f>_xlfn.XLOOKUP(L87,数据更新表!Z:Z,数据更新表!AC:AC)</f>
        <v>0</v>
      </c>
      <c r="DK87" s="49">
        <f>_xlfn.XLOOKUP(L87,数据更新表!Z:Z,数据更新表!AI:AI)</f>
        <v>0</v>
      </c>
      <c r="DX87" s="98">
        <f>_xlfn.XLOOKUP(L87,数据更新表!J:J,数据更新表!L:L)</f>
        <v>0</v>
      </c>
      <c r="DY87" s="98">
        <f>_xlfn.XLOOKUP(L87,数据更新表!J:J,数据更新表!M:M)</f>
        <v>0</v>
      </c>
      <c r="EC87" s="109">
        <f t="shared" si="34"/>
        <v>0</v>
      </c>
      <c r="EE87" s="110">
        <f t="shared" si="36"/>
        <v>0</v>
      </c>
      <c r="EJ87" s="101">
        <f t="shared" si="39"/>
        <v>0</v>
      </c>
    </row>
    <row r="88" hidden="1" customHeight="1" spans="7:140">
      <c r="G88" s="98" t="s">
        <v>445</v>
      </c>
      <c r="H88" s="116" t="s">
        <v>446</v>
      </c>
      <c r="J88" s="116"/>
      <c r="K88" s="116" t="s">
        <v>448</v>
      </c>
      <c r="M88" s="106" t="s">
        <v>183</v>
      </c>
      <c r="N88" s="52">
        <f>_xlfn.XLOOKUP(L88,数据更新表!J:J,数据更新表!K:K)</f>
        <v>0</v>
      </c>
      <c r="O88" s="52" t="str">
        <f>IFERROR(_xlfn.XLOOKUP(K88,数据更新表!A:A,数据更新表!B:B),"0")</f>
        <v>0</v>
      </c>
      <c r="P88" s="52">
        <f>_xlfn.XLOOKUP(K88,[1]库销表!$F:$F,[1]库销表!$L:$L)</f>
        <v>0</v>
      </c>
      <c r="Q88" s="103" t="e">
        <f t="shared" si="27"/>
        <v>#N/A</v>
      </c>
      <c r="S88" s="49" t="e">
        <f>_xlfn.XLOOKUP(K88,数据更新表!R:R,数据更新表!S:S)</f>
        <v>#N/A</v>
      </c>
      <c r="T88" s="49" t="e">
        <f>_xlfn.XLOOKUP(K88,数据更新表!V:V,数据更新表!W:W)</f>
        <v>#N/A</v>
      </c>
      <c r="V88" s="104" t="str">
        <f t="shared" si="28"/>
        <v>0</v>
      </c>
      <c r="W88" s="98" t="e">
        <f t="shared" si="29"/>
        <v>#N/A</v>
      </c>
      <c r="X88" s="98">
        <f t="shared" si="30"/>
        <v>0</v>
      </c>
      <c r="AF88" s="49">
        <f t="shared" si="31"/>
        <v>0</v>
      </c>
      <c r="BS88" s="52">
        <f>_xlfn.XLOOKUP(K88,[1]库销表!$F:$F,[1]库销表!$L:$L)</f>
        <v>0</v>
      </c>
      <c r="BT88" s="52">
        <f t="shared" si="32"/>
        <v>0</v>
      </c>
      <c r="BU88" s="49" cm="1">
        <f t="array" ref="BU88:CD88">_xlfn.XLOOKUP(K88,[1]库销表!$F:$F,[1]库销表!$HT:$IC)</f>
        <v>0</v>
      </c>
      <c r="BV88" s="49">
        <v>0</v>
      </c>
      <c r="BW88" s="49">
        <v>0</v>
      </c>
      <c r="BX88" s="49">
        <v>0</v>
      </c>
      <c r="BY88" s="49">
        <v>0</v>
      </c>
      <c r="BZ88" s="49">
        <v>0</v>
      </c>
      <c r="CA88" s="49">
        <v>0</v>
      </c>
      <c r="CB88" s="49">
        <v>0</v>
      </c>
      <c r="CC88" s="49">
        <v>0</v>
      </c>
      <c r="CD88" s="49">
        <v>0</v>
      </c>
      <c r="CW88" s="52">
        <f>_xlfn.XLOOKUP(K88,[1]库销表!$F:$F,[1]库销表!$IE:$IE)</f>
        <v>0</v>
      </c>
      <c r="CX88" s="52">
        <f>_xlfn.XLOOKUP(K88,[1]库销表!$F:$F,[1]库销表!$IF:$IF)</f>
        <v>0</v>
      </c>
      <c r="CY88" s="105">
        <f>_xlfn.XLOOKUP(K88,[1]库销表!$F:$F,[1]库销表!$FL:$FL)</f>
        <v>0</v>
      </c>
      <c r="CZ88" s="52" t="e">
        <f>_xlfn.XLOOKUP(K88,数据更新表!E:E,数据更新表!F:F)</f>
        <v>#N/A</v>
      </c>
      <c r="DA88" s="52" t="e">
        <v>#N/A</v>
      </c>
      <c r="DB88" s="52" t="e">
        <f>_xlfn.XLOOKUP(K88,数据更新表!E:E,数据更新表!G:G)</f>
        <v>#N/A</v>
      </c>
      <c r="DC88" s="106">
        <f>_xlfn.XLOOKUP(L88,数据更新表!Z:Z,数据更新表!AH:AH)</f>
        <v>0</v>
      </c>
      <c r="DD88" s="49">
        <f>_xlfn.XLOOKUP(L88,数据更新表!Z:Z,数据更新表!AE:AE)</f>
        <v>0</v>
      </c>
      <c r="DE88" s="49">
        <f>_xlfn.XLOOKUP(L88,数据更新表!Z:Z,数据更新表!AF:AF)</f>
        <v>0</v>
      </c>
      <c r="DF88" s="49" t="e">
        <f>_xlfn.XLOOKUP(K88,数据更新表!Z:Z,数据更新表!AG:AG)</f>
        <v>#N/A</v>
      </c>
      <c r="DG88" s="49">
        <f>_xlfn.XLOOKUP(L88,数据更新表!Z:Z,数据更新表!AD:AD)</f>
        <v>0</v>
      </c>
      <c r="DH88" s="49">
        <f>_xlfn.XLOOKUP(L88,数据更新表!Z:Z,数据更新表!AA:AA)</f>
        <v>0</v>
      </c>
      <c r="DI88" s="49">
        <f>_xlfn.XLOOKUP(L88,数据更新表!Z:Z,数据更新表!AB:AB)</f>
        <v>0</v>
      </c>
      <c r="DJ88" s="49">
        <f>_xlfn.XLOOKUP(L88,数据更新表!Z:Z,数据更新表!AC:AC)</f>
        <v>0</v>
      </c>
      <c r="DK88" s="49">
        <f>_xlfn.XLOOKUP(L88,数据更新表!Z:Z,数据更新表!AI:AI)</f>
        <v>0</v>
      </c>
      <c r="DX88" s="98">
        <f>_xlfn.XLOOKUP(L88,数据更新表!J:J,数据更新表!L:L)</f>
        <v>0</v>
      </c>
      <c r="DY88" s="98">
        <f>_xlfn.XLOOKUP(L88,数据更新表!J:J,数据更新表!M:M)</f>
        <v>0</v>
      </c>
      <c r="EC88" s="109">
        <f t="shared" si="34"/>
        <v>0</v>
      </c>
      <c r="EE88" s="110">
        <f t="shared" si="36"/>
        <v>0</v>
      </c>
      <c r="EJ88" s="101">
        <f t="shared" si="39"/>
        <v>0</v>
      </c>
    </row>
    <row r="89" hidden="1" customHeight="1" spans="7:140">
      <c r="H89" s="126" t="s">
        <v>450</v>
      </c>
      <c r="K89" s="116" t="s">
        <v>452</v>
      </c>
      <c r="M89" s="106" t="s">
        <v>183</v>
      </c>
      <c r="N89" s="52">
        <f>_xlfn.XLOOKUP(L89,数据更新表!J:J,数据更新表!K:K)</f>
        <v>0</v>
      </c>
      <c r="O89" s="52" t="str">
        <f>IFERROR(_xlfn.XLOOKUP(K89,数据更新表!A:A,数据更新表!B:B),"0")</f>
        <v>0</v>
      </c>
      <c r="P89" s="52">
        <f>_xlfn.XLOOKUP(K89,[1]库销表!$F:$F,[1]库销表!$L:$L)</f>
        <v>0</v>
      </c>
      <c r="Q89" s="103" t="e">
        <f t="shared" si="27"/>
        <v>#N/A</v>
      </c>
      <c r="S89" s="49" t="e">
        <f>_xlfn.XLOOKUP(K89,数据更新表!R:R,数据更新表!S:S)</f>
        <v>#N/A</v>
      </c>
      <c r="T89" s="49" t="e">
        <f>_xlfn.XLOOKUP(K89,数据更新表!V:V,数据更新表!W:W)</f>
        <v>#N/A</v>
      </c>
      <c r="V89" s="104" t="str">
        <f t="shared" si="28"/>
        <v>0</v>
      </c>
      <c r="W89" s="98" t="e">
        <f t="shared" si="29"/>
        <v>#N/A</v>
      </c>
      <c r="X89" s="98">
        <f t="shared" si="30"/>
        <v>0</v>
      </c>
      <c r="AF89" s="49">
        <f t="shared" si="31"/>
        <v>0</v>
      </c>
      <c r="BS89" s="52">
        <f>_xlfn.XLOOKUP(K89,[1]库销表!$F:$F,[1]库销表!$L:$L)</f>
        <v>0</v>
      </c>
      <c r="BT89" s="52">
        <f t="shared" si="32"/>
        <v>0</v>
      </c>
      <c r="BU89" s="49" cm="1">
        <f t="array" ref="BU89:CD89">_xlfn.XLOOKUP(K89,[1]库销表!$F:$F,[1]库销表!$HT:$IC)</f>
        <v>0</v>
      </c>
      <c r="BV89" s="49">
        <v>0</v>
      </c>
      <c r="BW89" s="49">
        <v>0</v>
      </c>
      <c r="BX89" s="49">
        <v>0</v>
      </c>
      <c r="BY89" s="49">
        <v>0</v>
      </c>
      <c r="BZ89" s="49">
        <v>0</v>
      </c>
      <c r="CA89" s="49">
        <v>0</v>
      </c>
      <c r="CB89" s="49">
        <v>0</v>
      </c>
      <c r="CC89" s="49">
        <v>0</v>
      </c>
      <c r="CD89" s="49">
        <v>0</v>
      </c>
      <c r="CW89" s="52">
        <f>_xlfn.XLOOKUP(K89,[1]库销表!$F:$F,[1]库销表!$IE:$IE)</f>
        <v>0</v>
      </c>
      <c r="CX89" s="52">
        <f>_xlfn.XLOOKUP(K89,[1]库销表!$F:$F,[1]库销表!$IF:$IF)</f>
        <v>0</v>
      </c>
      <c r="CY89" s="105">
        <f>_xlfn.XLOOKUP(K89,[1]库销表!$F:$F,[1]库销表!$FL:$FL)</f>
        <v>0</v>
      </c>
      <c r="CZ89" s="52" t="e">
        <f>_xlfn.XLOOKUP(K89,数据更新表!E:E,数据更新表!F:F)</f>
        <v>#N/A</v>
      </c>
      <c r="DA89" s="52" t="e">
        <v>#N/A</v>
      </c>
      <c r="DB89" s="52" t="e">
        <f>_xlfn.XLOOKUP(K89,数据更新表!E:E,数据更新表!G:G)</f>
        <v>#N/A</v>
      </c>
      <c r="DC89" s="106">
        <f>_xlfn.XLOOKUP(L89,数据更新表!Z:Z,数据更新表!AH:AH)</f>
        <v>0</v>
      </c>
      <c r="DD89" s="49">
        <f>_xlfn.XLOOKUP(L89,数据更新表!Z:Z,数据更新表!AE:AE)</f>
        <v>0</v>
      </c>
      <c r="DE89" s="49">
        <f>_xlfn.XLOOKUP(L89,数据更新表!Z:Z,数据更新表!AF:AF)</f>
        <v>0</v>
      </c>
      <c r="DF89" s="49" t="e">
        <f>_xlfn.XLOOKUP(K89,数据更新表!Z:Z,数据更新表!AG:AG)</f>
        <v>#N/A</v>
      </c>
      <c r="DG89" s="49">
        <f>_xlfn.XLOOKUP(L89,数据更新表!Z:Z,数据更新表!AD:AD)</f>
        <v>0</v>
      </c>
      <c r="DH89" s="49">
        <f>_xlfn.XLOOKUP(L89,数据更新表!Z:Z,数据更新表!AA:AA)</f>
        <v>0</v>
      </c>
      <c r="DI89" s="49">
        <f>_xlfn.XLOOKUP(L89,数据更新表!Z:Z,数据更新表!AB:AB)</f>
        <v>0</v>
      </c>
      <c r="DJ89" s="49">
        <f>_xlfn.XLOOKUP(L89,数据更新表!Z:Z,数据更新表!AC:AC)</f>
        <v>0</v>
      </c>
      <c r="DK89" s="49">
        <f>_xlfn.XLOOKUP(L89,数据更新表!Z:Z,数据更新表!AI:AI)</f>
        <v>0</v>
      </c>
      <c r="DX89" s="98">
        <f>_xlfn.XLOOKUP(L89,数据更新表!J:J,数据更新表!L:L)</f>
        <v>0</v>
      </c>
      <c r="DY89" s="98">
        <f>_xlfn.XLOOKUP(L89,数据更新表!J:J,数据更新表!M:M)</f>
        <v>0</v>
      </c>
      <c r="EC89" s="109">
        <f t="shared" si="34"/>
        <v>0</v>
      </c>
      <c r="EE89" s="110">
        <f t="shared" si="36"/>
        <v>0</v>
      </c>
      <c r="EJ89" s="101">
        <f t="shared" si="39"/>
        <v>0</v>
      </c>
    </row>
  </sheetData>
  <sheetProtection formatCells="0" insertHyperlinks="0" autoFilter="0"/>
  <autoFilter xmlns:etc="http://www.wps.cn/officeDocument/2017/etCustomData" ref="A2:FC89" etc:filterBottomFollowUsedRange="0">
    <filterColumn colId="12">
      <customFilters>
        <customFilter operator="equal" val="已上架"/>
      </customFilters>
    </filterColumn>
    <extLst/>
  </autoFilter>
  <hyperlinks>
    <hyperlink ref="B3" r:id="rId1" location="polycard_client=search_best-seller&amp;tracking_id=1535cc4f-6c94-43d4-8d0b-b958f078cfac&amp;wid=MLM2204455863&amp;sid=search" display="Yyugolo Mesa Cromada Uso Rudo Sencilla Con Ruedas Inoxidable | Envío gratis (mercadolibre.com.mx)"/>
    <hyperlink ref="B4" r:id="rId2" location="polycard_client=search_best-seller&amp;tracking_id=1535cc4f-6c94-43d4-8d0b-b958f078cfac&amp;wid=MLM3868986366&amp;sid=search" display="Mesa Para Intrumental Medico Mesa Pasteur Mesa Con 4 Ruedas | Meses sin interés (mercadolibre.com.mx)"/>
    <hyperlink ref="B5" r:id="rId3" location="polycard_client=search_best-seller&amp;tracking_id=1535cc4f-6c94-43d4-8d0b-b958f078cfac&amp;wid=MLM1814941696&amp;sid=search" display="Mesa Pasteur Con Cajon Rodable Uso Rudo Envío Gratis | Envío gratis (mercadolibre.com.mx)"/>
    <hyperlink ref="B6" r:id="rId4" location="polycard_client=search_best-seller&amp;tracking_id=1535cc4f-6c94-43d4-8d0b-b958f078cfac&amp;wid=MLM3574040868&amp;sid=search" display="Mesa Mayo Con Charola Acero Inoxidable Ajustable Uso Rudo | Envío gratis (mercadolibre.com.mx)"/>
    <hyperlink ref="B7" r:id="rId5" location="polycard_client=search_best-seller&amp;tracking_id=bf226780-c93d-4a21-9e1b-87110fb4a09b&amp;wid=MLM3371369142&amp;sid=search" display="Andadera Ortopedica de Doble Apoyo para Adulto Andador Ortopédico de Aluminio Plegable Soporta 100kg Tikun Color Negro | Envío gratis (mercadolibre.com.mx)"/>
    <hyperlink ref="B8" r:id="rId6" location="polycard_client=search_best-seller&amp;tracking_id=bf226780-c93d-4a21-9e1b-87110fb4a09b&amp;wid=MLM3371377348&amp;sid=search" display="Andadera Ortopédica Fija Tikun Para Adulto Plegable De Aluminio Negro | Envío gratis (mercadolibre.com.mx)"/>
    <hyperlink ref="B9" r:id="rId7" location="polycard_client=search_best-seller&amp;tracking_id=bf226780-c93d-4a21-9e1b-87110fb4a09b&amp;wid=MLM3581348578&amp;sid=search" display="Andadera ortopédica con ruedas Dewinner HS-ZLQ color plateado | Envío gratis (mercadolibre.com.mx)"/>
    <hyperlink ref="B10" r:id="rId8" location="polycard_client=search_best-seller&amp;tracking_id=5dd7c195-f30b-46ea-93d1-db3bce0cf254&amp;wid=MLM3706922512&amp;sid=search" display="Trípode Versátil Con Base De Metal Y 4 Ganchos Ajustables | Envío gratis (mercadolibre.com.mx)"/>
    <hyperlink ref="B11" r:id="rId9" location="polycard_client=search_best-seller&amp;tracking_id=5dd7c195-f30b-46ea-93d1-db3bce0cf254&amp;wid=MLM3623005456&amp;sid=search" display="Porta Sueros Acero Inox 3 Ruedas Base De Hierro Con Cubierta | Meses sin interés (mercadolibre.com.mx)"/>
    <hyperlink ref="B30" r:id="rId10" display="Modulo Ventilador Para Mazda 3 5 Ford Focus Fusion Escape | Meses sin interés" tooltip="https://articulo.mercadolibre.com.mx/MLM-1876794321-modulo-ventilador-para-mazda-3-5-ford-focus-fusion-escape-_JM"/>
    <hyperlink ref="B31" r:id="rId11" display="Modulo Moto Ventilador Ford Edge 3.5l 2007 Al 2015 | Envío gratis" tooltip="https://www.mercadolibre.com.mx/modulo-moto-ventilador-ford-edge-35l-2007-al-2015/up/MLMU806201811?pdp_filters=item_id:MLM2106577671"/>
    <hyperlink ref="B32" r:id="rId12" display="Modulo Control Ventilador Focus 2 Mazda 3 Volvo C30 S40 V50 | Envío gratis" tooltip="https://www.mercadolibre.com.mx/modulo-control-ventilador-focus-2-mazda-3-volvo-c30-s40-v50/up/MLMU465628608?pdp_filters=item_id:MLM1593435083"/>
    <hyperlink ref="B33" r:id="rId13" display="Modulo Ventilador Ford Land Rover Jaguar Volvo S60 Xc60 | Envío gratis" tooltip="https://articulo.mercadolibre.com.mx/MLM-2153237685-modulo-ventilador-ford-land-rover-jaguar-volvo-s60-xc60-_JM"/>
    <hyperlink ref="B34" r:id="rId14" display="Módulo Ventilador Ford Fusion Lincoln Mkz 3.5 2010 2011 2012 | Envío gratis" tooltip="https://www.mercadolibre.com.mx/modulo-ventilador-ford-fusion-lincoln-mkz-35-2010-2011-2012/up/MLMU3239342456?pdp_filters=item_id:MLM2340354617"/>
    <hyperlink ref="B35" r:id="rId15" display="https://articulo.mercadolibre.com.mx/MLM-3117809716-alternador-chevrolet-aveo-15-85a-2018-2019-2020-2021-2022-_JM#polycard_client=search_best-seller&amp;tracking_id=308eb0f8-3e9c-40b5-988b-e5fca241b761" tooltip="https://articulo.mercadolibre.com.mx/MLM-3117809716-alternador-chevrolet-aveo-15-85a-2018-2019-2020-2021-2022-_JM#polycard_client=search_best-seller&amp;tracking_id=308eb0f8-3e9c-40b5-988b-e5fca241b761"/>
    <hyperlink ref="B36" r:id="rId16" display="https://www.mercadolibre.com.mx/alternador-para-fiat-uno-mobi-500-092023-ram-rapid-1723/up/MLMU458091911#polycard_client=search_best-seller&amp;tracking_id=c00fdf92-bf20-49d5-890d-57c15933cb7e&amp;wid=MLM3311433164&amp;sid=search" tooltip="https://www.mercadolibre.com.mx/alternador-para-fiat-uno-mobi-500-092023-ram-rapid-1723/up/MLMU458091911#polycard_client=search_best-seller&amp;tracking_id=c00fdf92-bf20-49d5-890d-57c15933cb7e&amp;wid=MLM3311433164&amp;sid=search"/>
    <hyperlink ref="B37" r:id="rId17" location="polycard_client=search_best-seller&amp;tracking_id=2db1423a-207f-4b09-9cad-f9b70c603db7&amp;wid=MLM3563320152&amp;sid=search" display="Muelle De Reloj Para Nissan Navara D23 Np300 Fix | Meses sin interés"/>
    <hyperlink ref="B38" r:id="rId18" location="polycard_client=search_best-seller&amp;tracking_id=2db1423a-207f-4b09-9cad-f9b70c603db7" display="Resorte Reloj 84306-22010 Para 2006-2014 Toyota Yaris | Envío gratis"/>
    <hyperlink ref="B39" r:id="rId19" location="polycard_client=search_best-seller&amp;tracking_id=2db1423a-207f-4b09-9cad-f9b70c603db7&amp;wid=MLM2390689071&amp;sid=search" display="Muelle De Reloj En Espiral For Mazda 3 2004-2009 Negro | Meses sin interés"/>
    <hyperlink ref="B41" r:id="rId20" display="Resorte Reloj Sensor Angulo Para Jeep Patriot 2007-2016 | Meses sin interés" tooltip="https://articulo.mercadolibre.com.mx/MLM-2385030823-resorte-reloj-sensor-angulo-para-jeep-patriot-2007-2016-_JM"/>
    <hyperlink ref="B40" r:id="rId21" display="Resorte Reloj Para Nissan Versa 2012-2019 March 2012-2020 Negro | MercadoLibre" tooltip="https://www.mercadolibre.com.mx/resorte-reloj-para-nissan-versa-20122019-march-20122020/up/MLMU3456978388?pdp_filters=item_id:MLM4140635172"/>
    <hyperlink ref="B42" r:id="rId22" display="Resorte Reloj Pista Carrete Para Nissan X-tail Tiida 07-18 | MercadoLibre" tooltip="https://articulo.mercadolibre.com.mx/MLM-3447497418-resorte-reloj-pista-carrete-para-nissan-x-tail-tiida-07-18-_JM"/>
    <hyperlink ref="B43" r:id="rId23" display="Resorte Reloj Pista Carrete Espiral Toyota Camry 2007-2011 Negro | Envío gratis" tooltip="https://www.mercadolibre.com.mx/resorte-reloj-pista-carrete-espiral-toyota-camry-20072011/up/MLMU460023608"/>
    <hyperlink ref="B44" r:id="rId24" display="Resorte Reloj S/sensor Ángulo Compass Patriot 200 2007-2018 | Envío gratis" tooltip="https://www.mercadolibre.com.mx/resorte-reloj-ssensor-angulo-compass-patriot-200-20072018/up/MLMU441480915?pdp_filters=item_id:MLM1303895713"/>
    <hyperlink ref="B45" r:id="rId25" display="Fy Pista Carrete Resorte Reloj Para Chevrolet Beat 2018-2021 | Meses sin interés" tooltip="https://articulo.mercadolibre.com.mx/MLM-3581485390-fy-pista-carrete-resorte-reloj-para-chevrolet-beat-2018-2021-_JM"/>
    <hyperlink ref="B47" r:id="rId26" display="Resorte Reloj Pista Carrete Nissan X-trail 2008-2014 1 Cable | MercadoLibre" tooltip="https://articulo.mercadolibre.com.mx/MLM-2825542114-resorte-reloj-pista-carrete-nissan-x-trail-2008-2014-1-cable-_JM"/>
    <hyperlink ref="B48" r:id="rId27" display="Resorte Reloj Pista Carrete Espiral Para Toyota Tacoma 05-14 | Meses sin interés" tooltip="https://articulo.mercadolibre.com.mx/MLM-2984293136-resorte-reloj-pista-carrete-espiral-para-toyota-tacoma-05-14-_JM"/>
    <hyperlink ref="B49" r:id="rId28" display="Fy Carrete Resorte Reloj Espiral For Aveo Ng 2018/21 | MercadoLibre" tooltip="https://articulo.mercadolibre.com.mx/MLM-2449200213-fy-carrete-resorte-reloj-espiral-for-aveo-ng-201821-_JM"/>
    <hyperlink ref="B46" r:id="rId29" display="https://articulo.mercadolibre.com.mx/MLM-2236159097-resorte-reloj-para-elantra-sonata-2011-2012-2013-2014-2015-_JM"/>
    <hyperlink ref="B50" r:id="rId30" display="https://articulo.mercadolibre.com.mx/MLM-3359259692-marcha-volkswage-golf-jetta-87-99-caribe-78-89-encendido-_JM#polycard_client=search_best-seller&amp;tracking_id=4de6f91b-01bf-43f2-bd15-e757002642ed" tooltip="https://articulo.mercadolibre.com.mx/MLM-3359259692-marcha-volkswage-golf-jetta-87-99-caribe-78-89-encendido-_JM#polycard_client=search_best-seller&amp;tracking_id=4de6f91b-01bf-43f2-bd15-e757002642ed"/>
    <hyperlink ref="B51" r:id="rId31" display="https://www.mercadolibre.com.mx/marcha-para-chevrolet-aveo-0417-tornado-0410-pontiac-g3/up/MLMU2863668269#polycard_client=search_best-seller&amp;tracking_id=0f2c14e6-eaa7-4f26-87e4-67e0a36b0da7&amp;wid=MLM3481305334&amp;sid=search" tooltip="https://www.mercadolibre.com.mx/marcha-para-chevrolet-aveo-0417-tornado-0410-pontiac-g3/up/MLMU2863668269#polycard_client=search_best-seller&amp;tracking_id=0f2c14e6-eaa7-4f26-87e4-67e0a36b0da7&amp;wid=MLM3481305334&amp;sid=search"/>
    <hyperlink ref="B53" r:id="rId32" display="https://www.mercadolibre.com.mx/marcha-para-nissan-versa-tiida-march-note-20092019-16l/up/MLMU2908349051#polycard_client=search_best-seller&amp;tracking_id=9d239245-9811-4bc1-aa4b-95c57c8549b5&amp;wid=MLM2209491185&amp;sid=search" tooltip="https://www.mercadolibre.com.mx/marcha-para-nissan-versa-tiida-march-note-20092019-16l/up/MLMU2908349051#polycard_client=search_best-seller&amp;tracking_id=9d239245-9811-4bc1-aa4b-95c57c8549b5&amp;wid=MLM2209491185&amp;sid=search"/>
    <hyperlink ref="B54" r:id="rId33" display="https://www.mercadolibre.com.mx/marcha-tsuru-19842017-sentra-821999-transmision-std-8-dts/up/MLMU509343700#polycard_client=search_best-seller&amp;tracking_id=36da195b-0e57-462b-8963-8765c8e102b9&amp;wid=MLM3098337328&amp;sid=search" tooltip="https://www.mercadolibre.com.mx/marcha-tsuru-19842017-sentra-821999-transmision-std-8-dts/up/MLMU509343700#polycard_client=search_best-seller&amp;tracking_id=36da195b-0e57-462b-8963-8765c8e102b9&amp;wid=MLM3098337328&amp;sid=search"/>
    <hyperlink ref="B55" r:id="rId34" display="https://www.mercadolibre.com.mx/marcha-p-chevrolet-c1500-c2500-c3500-silverado-suburban-11d/up/MLMU2836302409#polycard_client=search_best-seller&amp;tracking_id=e485248c-2905-47ae-bd09-2a75f1d94977&amp;wid=MLM3472649120&amp;sid=search"/>
    <hyperlink ref="B52" r:id="rId35" display="Marcha Para Chevrolet Chevy 1994-2012, Astra, Corsa 00-08 9d | Envío gratis" tooltip="https://www.mercadolibre.com.mx/marcha-para-chevrolet-chevy-19942012-astra-corsa-0008-9d/up/MLMU2581993142?pdp_filters=item_id:MLM2171330789"/>
    <hyperlink ref="B56" r:id="rId36" display="https://www.mercadolibre.com.mx/bomba-vacio-frenos-booster-onix-10-12-2021-2022-2023/up/MLMU972477112#polycard_client=search_best-seller&amp;tracking_id=3c18b138-a467-4712-b0f4-7ba7befef20b&amp;wid=MLM3063989286&amp;sid=search" tooltip="https://www.mercadolibre.com.mx/bomba-vacio-frenos-booster-onix-10-12-2021-2022-2023/up/MLMU972477112#polycard_client=search_best-seller&amp;tracking_id=3c18b138-a467-4712-b0f4-7ba7befef20b&amp;wid=MLM3063989286&amp;sid=search"/>
    <hyperlink ref="B57" r:id="rId37" display="https://articulo.mercadolibre.com.mx/MLM-2283820517-bomba-vacio-cruze-spark-malibu-14-15-2016-2017-2018-2019-_JM#polycard_client=search_best-seller&amp;tracking_id=0b0dbe29-5eda-4616-8069-322daa9e055a" tooltip="https://articulo.mercadolibre.com.mx/MLM-2283820517-bomba-vacio-cruze-spark-malibu-14-15-2016-2017-2018-2019-_JM#polycard_client=search_best-seller&amp;tracking_id=0b0dbe29-5eda-4616-8069-322daa9e055a"/>
    <hyperlink ref="B58" r:id="rId38" display="Bomba Vacio Chevrolet S10 Malibu 2.0 2.5 2016 2017 2018-2022 | Envío gratis" tooltip="https://www.mercadolibre.com.mx/bomba-vacio-chevrolet-s10-malibu-20-25-2016-2017-20182022/up/MLMU2502681322?pdp_filters=item_id:MLM2168608013"/>
    <hyperlink ref="B59" r:id="rId39" display="Bomba Vacio Vw Golf Beetle Bora Passat Jetta 2.5 2005-2017 | Envío gratis" tooltip="https://articulo.mercadolibre.com.mx/MLM-2781577598-bomba-vacio-vw-golf-beetle-bora-passat-jetta-25-2005-2017-_JM"/>
    <hyperlink ref="B61" r:id="rId40" display="https://articulo.mercadolibre.com.mx/MLM-2595008336-bobina-encendido-x-trail-25-2002-2003-2004-2005-2006-2007-_JM" tooltip="https://articulo.mercadolibre.com.mx/MLM-2595008336-bobina-encendido-x-trail-25-2002-2003-2004-2005-2006-2007-_JM"/>
    <hyperlink ref="B62" r:id="rId41" display="https://articulo.mercadolibre.com.mx/MLM-2048104771-bobina-encendido-f-350-super-duty-54l-99-04-fd503-ic39-_JM" tooltip="https://articulo.mercadolibre.com.mx/MLM-2048104771-bobina-encendido-f-350-super-duty-54l-99-04-fd503-ic39-_JM"/>
    <hyperlink ref="B60" r:id="rId42" display="Bobina Encendido Peugeot 206 207 308 Partner 1.6 2001-2013 | Envío gratis" tooltip="https://www.mercadolibre.com.mx/bobina-encendido-peugeot-206-207-308-partner-16-20012013/up/MLMU3121601721?pdp_filters=item_id:MLM3637838530"/>
    <hyperlink ref="B63" r:id="rId43" display="https://articulo.mercadolibre.com.mx/MLM-2264069447-par-solenoide-vvt-captiva-equinox-hhr-malibu-terrain-nuevo-_JM#polycard_client=search_best-seller&amp;tracking_id=9e0727a3-de60-4246-8cf6-107bae10046a&amp;wid=MLM2264069447&amp;sid=search" tooltip="https://articulo.mercadolibre.com.mx/MLM-2264069447-par-solenoide-vvt-captiva-equinox-hhr-malibu-terrain-nuevo-_JM#polycard_client=search_best-seller&amp;tracking_id=9e0727a3-de60-4246-8cf6-107bae10046a&amp;wid=MLM2264069447&amp;sid=search"/>
    <hyperlink ref="B65" r:id="rId44" display="https://articulo.mercadolibre.com.mx/MLM-2166283691-valvula-selenoide-vtec-para-honda-crv-24l-anos-2002-2009-_JM#polycard_client=search_best-seller&amp;tracking_id=e9ca670c-8b60-4804-ba37-94a81c0ba396&amp;wid=MLM2166283691&amp;sid=search" tooltip="https://articulo.mercadolibre.com.mx/MLM-2166283691-valvula-selenoide-vtec-para-honda-crv-24l-anos-2002-2009-_JM#polycard_client=search_best-seller&amp;tracking_id=e9ca670c-8b60-4804-ba37-94a81c0ba396&amp;wid=MLM2166283691&amp;sid=search"/>
    <hyperlink ref="B64" r:id="rId45" display="Válvula Solenoide Vvt Nissan Tiida Versa 1.8 2007-2015 Nuevo | Meses sin interés" tooltip="https://articulo.mercadolibre.com.mx/MLM-2331455809-valvula-solenoide-vvt-nissan-tiida-versa-18-2007-2015-nuevo-_JM"/>
    <hyperlink ref="B66" r:id="rId46" location="polycard_client=search_best-seller&amp;tracking_id=e01351ec-4d13-4990-b6f1-a24500f02738&amp;wid=MLM2145154299&amp;sid=search" display="Par De Amortiguadores De Cajuela Para Nissan March 2012-2018 | MercadoLibre"/>
    <hyperlink ref="B67" r:id="rId47" display="Par De Amortiguadores Cajuela Vw Pointer 1998 Al 2009 Oep | Meses sin interés" tooltip="https://articulo.mercadolibre.com.mx/MLM-3358122728-par-de-amortiguadores-cajuela-vw-pointer-1998-al-2009-oep-_JM"/>
    <hyperlink ref="B68" r:id="rId48" display="2 Amortiguadores Cajuela Jetta A4 1999-2015 | Envío gratis" tooltip="https://articulo.mercadolibre.com.mx/MLM-1614210250-2-amortiguadores-cajuela-jetta-a4-1999-2015-_JM"/>
    <hyperlink ref="B69" r:id="rId49" display="Par De Amortiguadores Cajuela Seat Ibiza 2003-2009 | Meses sin interés" tooltip="https://articulo.mercadolibre.com.mx/MLM-2219378907-par-de-amortiguadores-cajuela-seat-ibiza-2003-2009-_J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880"/>
  <sheetViews>
    <sheetView topLeftCell="DA1" workbookViewId="0">
      <selection activeCell="AL1" sqref="AL$1:AL$1048576"/>
    </sheetView>
  </sheetViews>
  <sheetFormatPr defaultColWidth="11.3333333333333" defaultRowHeight="19.5"/>
  <cols>
    <col min="1" max="1" width="22.5925925925926" style="12" customWidth="1"/>
    <col min="2" max="2" width="9.33333333333333" style="12" customWidth="1"/>
    <col min="3" max="4" width="11.3333333333333" style="12"/>
    <col min="5" max="5" width="8.55555555555556" style="12" customWidth="1"/>
    <col min="6" max="6" width="7.22222222222222" style="12" customWidth="1"/>
    <col min="7" max="7" width="8.11111111111111" style="12" customWidth="1"/>
    <col min="8" max="9" width="11.3333333333333" style="12"/>
    <col min="10" max="10" width="10.1111111111111" style="12" customWidth="1"/>
    <col min="11" max="11" width="8.11111111111111" style="12" customWidth="1"/>
    <col min="12" max="12" width="7.44444444444444" style="12" customWidth="1"/>
    <col min="13" max="13" width="6.55555555555556" style="12" customWidth="1"/>
    <col min="14" max="14" width="7.44444444444444" style="12" customWidth="1"/>
    <col min="15" max="17" width="11.3333333333333" style="13"/>
    <col min="18" max="18" width="12" style="12" customWidth="1"/>
    <col min="19" max="21" width="11.3333333333333" style="12"/>
    <col min="22" max="22" width="23.1111111111111" style="12" customWidth="1"/>
    <col min="23" max="23" width="9.11111111111111" style="12" customWidth="1"/>
    <col min="24" max="25" width="11.3333333333333" style="12"/>
    <col min="26" max="26" width="8.88888888888889" style="14"/>
    <col min="27" max="27" width="9.55555555555556" style="14"/>
    <col min="28" max="34" width="8.88888888888889" style="14"/>
    <col min="35" max="35" width="8.41481481481481" style="14" customWidth="1"/>
    <col min="36" max="36" width="11.3333333333333" style="12"/>
    <col min="38" max="38" width="8.88888888888889" style="14"/>
    <col min="39" max="39" width="8.41481481481481" style="14" customWidth="1"/>
    <col min="40" max="16384" width="11.3333333333333" style="13"/>
  </cols>
  <sheetData>
    <row r="1" ht="49.5" customHeight="1" spans="1:39">
      <c r="A1" s="15"/>
      <c r="B1" s="16" t="s">
        <v>687</v>
      </c>
      <c r="C1" s="17"/>
      <c r="D1" s="17" t="s">
        <v>688</v>
      </c>
      <c r="E1" s="18" t="s">
        <v>21</v>
      </c>
      <c r="F1" s="18" t="s">
        <v>689</v>
      </c>
      <c r="G1" s="18" t="s">
        <v>690</v>
      </c>
      <c r="H1" s="17"/>
      <c r="I1" s="17" t="s">
        <v>691</v>
      </c>
      <c r="J1" s="18" t="s">
        <v>692</v>
      </c>
      <c r="K1" s="18" t="s">
        <v>24</v>
      </c>
      <c r="L1" s="18" t="s">
        <v>693</v>
      </c>
      <c r="M1" s="18" t="s">
        <v>694</v>
      </c>
      <c r="N1" s="18" t="s">
        <v>695</v>
      </c>
      <c r="R1" s="19" t="s">
        <v>21</v>
      </c>
      <c r="S1" s="20" t="s">
        <v>696</v>
      </c>
      <c r="V1" s="21" t="s">
        <v>21</v>
      </c>
      <c r="W1" s="21" t="s">
        <v>697</v>
      </c>
      <c r="Y1" s="22" t="s">
        <v>698</v>
      </c>
      <c r="Z1" s="2" t="s">
        <v>692</v>
      </c>
      <c r="AA1" s="2" t="s">
        <v>53</v>
      </c>
      <c r="AB1" s="2" t="s">
        <v>54</v>
      </c>
      <c r="AC1" s="2" t="s">
        <v>699</v>
      </c>
      <c r="AD1" s="2" t="s">
        <v>700</v>
      </c>
      <c r="AE1" s="2" t="s">
        <v>49</v>
      </c>
      <c r="AF1" s="2" t="s">
        <v>701</v>
      </c>
      <c r="AG1" s="2" t="s">
        <v>702</v>
      </c>
      <c r="AH1" s="2" t="s">
        <v>48</v>
      </c>
      <c r="AI1" s="2" t="s">
        <v>703</v>
      </c>
      <c r="AJ1" s="2" t="s">
        <v>704</v>
      </c>
      <c r="AK1" s="23" t="s">
        <v>705</v>
      </c>
      <c r="AL1" s="2" t="s">
        <v>692</v>
      </c>
      <c r="AM1" s="2" t="s">
        <v>703</v>
      </c>
    </row>
    <row r="2" ht="57" customHeight="1" spans="1:39">
      <c r="A2" s="24" t="s">
        <v>21</v>
      </c>
      <c r="B2" s="25" t="s">
        <v>706</v>
      </c>
      <c r="C2" s="17"/>
      <c r="D2" s="17"/>
      <c r="E2" s="26" t="s">
        <v>226</v>
      </c>
      <c r="F2" s="27">
        <v>2</v>
      </c>
      <c r="G2" s="27">
        <v>0</v>
      </c>
      <c r="H2" s="17"/>
      <c r="I2" s="17"/>
      <c r="J2" s="26">
        <v>4686991600</v>
      </c>
      <c r="K2" s="27">
        <v>100</v>
      </c>
      <c r="L2" s="27">
        <v>669</v>
      </c>
      <c r="M2" s="27">
        <v>1000</v>
      </c>
      <c r="N2" s="27">
        <v>43</v>
      </c>
      <c r="R2" s="19"/>
      <c r="S2" s="20"/>
      <c r="V2" s="28" t="s">
        <v>707</v>
      </c>
      <c r="W2" s="28"/>
      <c r="Z2" s="29">
        <v>4238819076</v>
      </c>
      <c r="AA2" s="30">
        <v>30981</v>
      </c>
      <c r="AB2" s="30">
        <v>13</v>
      </c>
      <c r="AC2" s="30" t="s">
        <v>708</v>
      </c>
      <c r="AD2" s="30">
        <v>28.89</v>
      </c>
      <c r="AE2" s="30">
        <v>0</v>
      </c>
      <c r="AF2" s="30">
        <v>0</v>
      </c>
      <c r="AG2" s="30">
        <v>0</v>
      </c>
      <c r="AH2" s="30">
        <v>2</v>
      </c>
      <c r="AI2" s="30" t="s">
        <v>709</v>
      </c>
      <c r="AJ2" s="30">
        <v>0</v>
      </c>
      <c r="AL2" s="29">
        <v>4238819076</v>
      </c>
      <c r="AM2" s="30" t="s">
        <v>710</v>
      </c>
    </row>
    <row r="3" ht="57" spans="1:39">
      <c r="A3" s="24"/>
      <c r="B3" s="25"/>
      <c r="C3" s="17"/>
      <c r="D3" s="17"/>
      <c r="E3" s="26" t="s">
        <v>352</v>
      </c>
      <c r="F3" s="27">
        <v>7</v>
      </c>
      <c r="G3" s="27">
        <v>1</v>
      </c>
      <c r="H3" s="17"/>
      <c r="I3" s="17"/>
      <c r="J3" s="26">
        <v>2515489727</v>
      </c>
      <c r="K3" s="27">
        <v>100</v>
      </c>
      <c r="L3" s="27">
        <v>2420.56</v>
      </c>
      <c r="M3" s="27">
        <v>3064</v>
      </c>
      <c r="N3" s="27">
        <v>54</v>
      </c>
      <c r="R3" s="19"/>
      <c r="S3" s="20"/>
      <c r="V3" s="31" t="s">
        <v>707</v>
      </c>
      <c r="W3" s="31"/>
      <c r="Z3" s="29">
        <v>4687080914</v>
      </c>
      <c r="AA3" s="30">
        <v>20990</v>
      </c>
      <c r="AB3" s="30">
        <v>35</v>
      </c>
      <c r="AC3" s="30" t="s">
        <v>711</v>
      </c>
      <c r="AD3" s="30">
        <v>129.72</v>
      </c>
      <c r="AE3" s="30">
        <v>5</v>
      </c>
      <c r="AF3" s="30">
        <v>5</v>
      </c>
      <c r="AG3" s="30">
        <v>0</v>
      </c>
      <c r="AH3" s="30">
        <v>6</v>
      </c>
      <c r="AI3" s="30" t="s">
        <v>712</v>
      </c>
      <c r="AJ3" s="30">
        <v>15.38</v>
      </c>
      <c r="AL3" s="29">
        <v>4239173046</v>
      </c>
      <c r="AM3" s="30" t="s">
        <v>713</v>
      </c>
    </row>
    <row r="4" ht="30" spans="1:39">
      <c r="A4" s="32"/>
      <c r="B4" s="32" t="s">
        <v>714</v>
      </c>
      <c r="C4" s="17"/>
      <c r="D4" s="17"/>
      <c r="E4" s="26" t="s">
        <v>105</v>
      </c>
      <c r="F4" s="27">
        <v>31</v>
      </c>
      <c r="G4" s="27">
        <v>3</v>
      </c>
      <c r="H4" s="17"/>
      <c r="I4" s="17"/>
      <c r="J4" s="26">
        <v>2515701467</v>
      </c>
      <c r="K4" s="27">
        <v>65</v>
      </c>
      <c r="L4" s="27">
        <v>1027.05</v>
      </c>
      <c r="M4" s="27">
        <v>1369.4</v>
      </c>
      <c r="N4" s="27">
        <v>95</v>
      </c>
      <c r="R4" s="33" t="s">
        <v>128</v>
      </c>
      <c r="S4" s="34">
        <v>12</v>
      </c>
      <c r="V4" s="31" t="s">
        <v>715</v>
      </c>
      <c r="W4" s="31"/>
      <c r="Z4" s="29">
        <v>4687042964</v>
      </c>
      <c r="AA4" s="30">
        <v>12445</v>
      </c>
      <c r="AB4" s="30">
        <v>42</v>
      </c>
      <c r="AC4" s="30" t="s">
        <v>716</v>
      </c>
      <c r="AD4" s="30">
        <v>986.47</v>
      </c>
      <c r="AE4" s="30">
        <v>1</v>
      </c>
      <c r="AF4" s="30">
        <v>1</v>
      </c>
      <c r="AG4" s="30">
        <v>0</v>
      </c>
      <c r="AH4" s="30">
        <v>3</v>
      </c>
      <c r="AI4" s="30" t="s">
        <v>717</v>
      </c>
      <c r="AJ4" s="30">
        <v>1.32</v>
      </c>
      <c r="AL4" s="29">
        <v>4687109248</v>
      </c>
      <c r="AM4" s="30" t="s">
        <v>718</v>
      </c>
    </row>
    <row r="5" ht="30" spans="1:39">
      <c r="A5" s="35" t="s">
        <v>203</v>
      </c>
      <c r="B5" s="36">
        <v>49</v>
      </c>
      <c r="C5" s="17"/>
      <c r="D5" s="17"/>
      <c r="E5" s="26" t="s">
        <v>96</v>
      </c>
      <c r="F5" s="27">
        <v>20</v>
      </c>
      <c r="G5" s="27">
        <v>1</v>
      </c>
      <c r="H5" s="17"/>
      <c r="I5" s="17"/>
      <c r="J5" s="26">
        <v>2696841915</v>
      </c>
      <c r="K5" s="27">
        <v>100</v>
      </c>
      <c r="L5" s="27">
        <v>426</v>
      </c>
      <c r="M5" s="27">
        <v>710</v>
      </c>
      <c r="N5" s="27">
        <v>27</v>
      </c>
      <c r="R5" s="33"/>
      <c r="S5" s="34"/>
      <c r="V5" s="37"/>
      <c r="W5" s="38"/>
      <c r="Z5" s="29">
        <v>4687030984</v>
      </c>
      <c r="AA5" s="30">
        <v>11984</v>
      </c>
      <c r="AB5" s="30">
        <v>39</v>
      </c>
      <c r="AC5" s="30" t="s">
        <v>719</v>
      </c>
      <c r="AD5" s="30">
        <v>788.65</v>
      </c>
      <c r="AE5" s="30">
        <v>6</v>
      </c>
      <c r="AF5" s="30">
        <v>6</v>
      </c>
      <c r="AG5" s="30">
        <v>0</v>
      </c>
      <c r="AH5" s="30">
        <v>2</v>
      </c>
      <c r="AI5" s="30" t="s">
        <v>720</v>
      </c>
      <c r="AJ5" s="30">
        <v>6.08</v>
      </c>
      <c r="AL5" s="29">
        <v>4687080914</v>
      </c>
      <c r="AM5" s="30" t="s">
        <v>721</v>
      </c>
    </row>
    <row r="6" ht="57.75" spans="1:39">
      <c r="A6" s="35" t="s">
        <v>303</v>
      </c>
      <c r="B6" s="36">
        <v>13</v>
      </c>
      <c r="C6" s="17"/>
      <c r="D6" s="17"/>
      <c r="E6" s="26" t="s">
        <v>220</v>
      </c>
      <c r="F6" s="27">
        <v>5</v>
      </c>
      <c r="G6" s="27">
        <v>0</v>
      </c>
      <c r="H6" s="17"/>
      <c r="I6" s="17"/>
      <c r="J6" s="26">
        <v>2696975635</v>
      </c>
      <c r="K6" s="27">
        <v>100</v>
      </c>
      <c r="L6" s="27">
        <v>235.08</v>
      </c>
      <c r="M6" s="27">
        <v>345.71</v>
      </c>
      <c r="N6" s="27">
        <v>7</v>
      </c>
      <c r="R6" s="33"/>
      <c r="S6" s="34"/>
      <c r="V6" s="31"/>
      <c r="W6" s="39"/>
      <c r="Z6" s="29">
        <v>4687109248</v>
      </c>
      <c r="AA6" s="30">
        <v>11886</v>
      </c>
      <c r="AB6" s="30">
        <v>42</v>
      </c>
      <c r="AC6" s="30" t="s">
        <v>722</v>
      </c>
      <c r="AD6" s="30">
        <v>632.84</v>
      </c>
      <c r="AE6" s="30">
        <v>1</v>
      </c>
      <c r="AF6" s="30">
        <v>1</v>
      </c>
      <c r="AG6" s="30">
        <v>0</v>
      </c>
      <c r="AH6" s="30">
        <v>5</v>
      </c>
      <c r="AI6" s="30" t="s">
        <v>723</v>
      </c>
      <c r="AJ6" s="30">
        <v>2.16</v>
      </c>
      <c r="AL6" s="29">
        <v>2696975635</v>
      </c>
      <c r="AM6" s="30" t="s">
        <v>724</v>
      </c>
    </row>
    <row r="7" ht="57.75" spans="1:39">
      <c r="A7" s="35" t="s">
        <v>232</v>
      </c>
      <c r="B7" s="36">
        <v>40</v>
      </c>
      <c r="C7" s="17"/>
      <c r="D7" s="17"/>
      <c r="E7" s="26" t="s">
        <v>208</v>
      </c>
      <c r="F7" s="27">
        <v>4</v>
      </c>
      <c r="G7" s="27">
        <v>1</v>
      </c>
      <c r="H7" s="17"/>
      <c r="I7" s="17"/>
      <c r="J7" s="26">
        <v>2698823949</v>
      </c>
      <c r="K7" s="27">
        <v>100</v>
      </c>
      <c r="L7" s="27">
        <v>296.57</v>
      </c>
      <c r="M7" s="27">
        <v>494.29</v>
      </c>
      <c r="N7" s="27">
        <v>13</v>
      </c>
      <c r="R7" s="33"/>
      <c r="S7" s="34"/>
      <c r="V7" s="28"/>
      <c r="W7" s="40"/>
      <c r="Z7" s="29">
        <v>4238574572</v>
      </c>
      <c r="AA7" s="30">
        <v>10833</v>
      </c>
      <c r="AB7" s="30">
        <v>132</v>
      </c>
      <c r="AC7" s="30" t="s">
        <v>725</v>
      </c>
      <c r="AD7" s="30">
        <v>702.95</v>
      </c>
      <c r="AE7" s="30">
        <v>21</v>
      </c>
      <c r="AF7" s="30">
        <v>20</v>
      </c>
      <c r="AG7" s="30">
        <v>1</v>
      </c>
      <c r="AH7" s="30">
        <v>10</v>
      </c>
      <c r="AI7" s="30" t="s">
        <v>726</v>
      </c>
      <c r="AJ7" s="30">
        <v>43.78</v>
      </c>
      <c r="AL7" s="29">
        <v>4686991600</v>
      </c>
      <c r="AM7" s="30" t="s">
        <v>727</v>
      </c>
    </row>
    <row r="8" ht="43.5" spans="1:39">
      <c r="A8" s="35" t="s">
        <v>245</v>
      </c>
      <c r="B8" s="36">
        <v>47</v>
      </c>
      <c r="C8" s="17"/>
      <c r="D8" s="17"/>
      <c r="E8" s="26" t="s">
        <v>321</v>
      </c>
      <c r="F8" s="27">
        <v>10</v>
      </c>
      <c r="G8" s="27">
        <v>1</v>
      </c>
      <c r="H8" s="17"/>
      <c r="I8" s="17"/>
      <c r="J8" s="26">
        <v>2698915223</v>
      </c>
      <c r="K8" s="27">
        <v>100</v>
      </c>
      <c r="L8" s="27">
        <v>249</v>
      </c>
      <c r="M8" s="27">
        <v>424.29</v>
      </c>
      <c r="N8" s="27">
        <v>18</v>
      </c>
      <c r="R8" s="33"/>
      <c r="S8" s="34"/>
      <c r="V8" s="28"/>
      <c r="W8" s="40"/>
      <c r="Z8" s="29">
        <v>4686991600</v>
      </c>
      <c r="AA8" s="30">
        <v>10729</v>
      </c>
      <c r="AB8" s="30">
        <v>16</v>
      </c>
      <c r="AC8" s="30" t="s">
        <v>728</v>
      </c>
      <c r="AD8" s="30">
        <v>122.54</v>
      </c>
      <c r="AE8" s="30">
        <v>2</v>
      </c>
      <c r="AF8" s="30">
        <v>2</v>
      </c>
      <c r="AG8" s="30">
        <v>0</v>
      </c>
      <c r="AH8" s="30">
        <v>2</v>
      </c>
      <c r="AI8" s="30" t="s">
        <v>729</v>
      </c>
      <c r="AJ8" s="30">
        <v>10.92</v>
      </c>
      <c r="AL8" s="29">
        <v>2515831365</v>
      </c>
      <c r="AM8" s="30" t="s">
        <v>730</v>
      </c>
    </row>
    <row r="9" ht="44.25" spans="1:39">
      <c r="A9" s="35" t="s">
        <v>162</v>
      </c>
      <c r="B9" s="36">
        <v>30</v>
      </c>
      <c r="C9" s="17"/>
      <c r="D9" s="17"/>
      <c r="E9" s="26" t="s">
        <v>309</v>
      </c>
      <c r="F9" s="27">
        <v>8</v>
      </c>
      <c r="G9" s="27">
        <v>1</v>
      </c>
      <c r="H9" s="17"/>
      <c r="I9" s="17"/>
      <c r="J9" s="26">
        <v>2698952707</v>
      </c>
      <c r="K9" s="26" t="s">
        <v>731</v>
      </c>
      <c r="L9" s="27">
        <v>148.36</v>
      </c>
      <c r="M9" s="27">
        <v>221.43</v>
      </c>
      <c r="N9" s="27">
        <v>0</v>
      </c>
      <c r="R9" s="33"/>
      <c r="S9" s="34"/>
      <c r="V9" s="31"/>
      <c r="W9" s="39"/>
      <c r="Z9" s="29">
        <v>4238699688</v>
      </c>
      <c r="AA9" s="30">
        <v>9008</v>
      </c>
      <c r="AB9" s="30">
        <v>119</v>
      </c>
      <c r="AC9" s="30" t="s">
        <v>732</v>
      </c>
      <c r="AD9" s="30">
        <v>642.72</v>
      </c>
      <c r="AE9" s="30">
        <v>12</v>
      </c>
      <c r="AF9" s="30">
        <v>12</v>
      </c>
      <c r="AG9" s="30">
        <v>0</v>
      </c>
      <c r="AH9" s="30">
        <v>8</v>
      </c>
      <c r="AI9" s="30" t="s">
        <v>733</v>
      </c>
      <c r="AJ9" s="30">
        <v>31.25</v>
      </c>
      <c r="AL9" s="29">
        <v>4239812144</v>
      </c>
      <c r="AM9" s="30" t="s">
        <v>724</v>
      </c>
    </row>
    <row r="10" ht="44.25" spans="1:39">
      <c r="A10" s="35" t="s">
        <v>239</v>
      </c>
      <c r="B10" s="36">
        <v>45</v>
      </c>
      <c r="C10" s="17"/>
      <c r="D10" s="17"/>
      <c r="E10" s="26" t="s">
        <v>297</v>
      </c>
      <c r="F10" s="27">
        <v>4</v>
      </c>
      <c r="G10" s="27">
        <v>0</v>
      </c>
      <c r="H10" s="17"/>
      <c r="I10" s="17"/>
      <c r="J10" s="26">
        <v>2698981225</v>
      </c>
      <c r="K10" s="27">
        <v>100</v>
      </c>
      <c r="L10" s="27">
        <v>495.81</v>
      </c>
      <c r="M10" s="27">
        <v>718.57</v>
      </c>
      <c r="N10" s="27">
        <v>47</v>
      </c>
      <c r="R10" s="33"/>
      <c r="S10" s="34"/>
      <c r="V10" s="28"/>
      <c r="W10" s="40"/>
      <c r="Z10" s="29">
        <v>4700259114</v>
      </c>
      <c r="AA10" s="30">
        <v>7336</v>
      </c>
      <c r="AB10" s="30">
        <v>17</v>
      </c>
      <c r="AC10" s="30" t="s">
        <v>734</v>
      </c>
      <c r="AD10" s="30">
        <v>185.29</v>
      </c>
      <c r="AE10" s="30">
        <v>1</v>
      </c>
      <c r="AF10" s="30">
        <v>1</v>
      </c>
      <c r="AG10" s="30">
        <v>0</v>
      </c>
      <c r="AH10" s="30">
        <v>0</v>
      </c>
      <c r="AI10" s="30" t="s">
        <v>734</v>
      </c>
      <c r="AJ10" s="30">
        <v>2.37</v>
      </c>
      <c r="AL10" s="29">
        <v>4687030984</v>
      </c>
      <c r="AM10" s="30" t="s">
        <v>735</v>
      </c>
    </row>
    <row r="11" ht="57.75" spans="1:39">
      <c r="A11" s="35" t="s">
        <v>345</v>
      </c>
      <c r="B11" s="36">
        <v>26</v>
      </c>
      <c r="C11" s="17"/>
      <c r="D11" s="17"/>
      <c r="E11" s="26" t="s">
        <v>245</v>
      </c>
      <c r="F11" s="27">
        <v>3</v>
      </c>
      <c r="G11" s="27">
        <v>0</v>
      </c>
      <c r="H11" s="17"/>
      <c r="I11" s="17"/>
      <c r="J11" s="26">
        <v>2705951099</v>
      </c>
      <c r="K11" s="26" t="s">
        <v>731</v>
      </c>
      <c r="L11" s="27">
        <v>369</v>
      </c>
      <c r="M11" s="27">
        <v>562.86</v>
      </c>
      <c r="N11" s="27">
        <v>4</v>
      </c>
      <c r="R11" s="33"/>
      <c r="S11" s="34"/>
      <c r="V11" s="28"/>
      <c r="W11" s="40"/>
      <c r="Z11" s="29">
        <v>4687067332</v>
      </c>
      <c r="AA11" s="30">
        <v>7231</v>
      </c>
      <c r="AB11" s="30">
        <v>8</v>
      </c>
      <c r="AC11" s="30" t="s">
        <v>736</v>
      </c>
      <c r="AD11" s="30">
        <v>26.94</v>
      </c>
      <c r="AE11" s="30">
        <v>2</v>
      </c>
      <c r="AF11" s="30">
        <v>1</v>
      </c>
      <c r="AG11" s="30">
        <v>1</v>
      </c>
      <c r="AH11" s="30">
        <v>0</v>
      </c>
      <c r="AI11" s="30" t="s">
        <v>737</v>
      </c>
      <c r="AJ11" s="30">
        <v>15.71</v>
      </c>
      <c r="AL11" s="29">
        <v>4687042964</v>
      </c>
      <c r="AM11" s="30" t="s">
        <v>738</v>
      </c>
    </row>
    <row r="12" ht="44.25" spans="1:39">
      <c r="A12" s="35" t="s">
        <v>141</v>
      </c>
      <c r="B12" s="36">
        <v>0</v>
      </c>
      <c r="C12" s="17"/>
      <c r="D12" s="17"/>
      <c r="E12" s="26" t="s">
        <v>262</v>
      </c>
      <c r="F12" s="27">
        <v>11</v>
      </c>
      <c r="G12" s="27">
        <v>1</v>
      </c>
      <c r="H12" s="17"/>
      <c r="I12" s="17"/>
      <c r="J12" s="26">
        <v>4238574572</v>
      </c>
      <c r="K12" s="27">
        <v>100</v>
      </c>
      <c r="L12" s="27">
        <v>1599</v>
      </c>
      <c r="M12" s="27">
        <v>1599</v>
      </c>
      <c r="N12" s="27">
        <v>266</v>
      </c>
      <c r="R12" s="33"/>
      <c r="S12" s="34"/>
      <c r="V12" s="28"/>
      <c r="W12" s="40"/>
      <c r="Z12" s="29">
        <v>4684057184</v>
      </c>
      <c r="AA12" s="30">
        <v>7071</v>
      </c>
      <c r="AB12" s="30">
        <v>9</v>
      </c>
      <c r="AC12" s="30" t="s">
        <v>739</v>
      </c>
      <c r="AD12" s="30">
        <v>16.01</v>
      </c>
      <c r="AE12" s="30">
        <v>1</v>
      </c>
      <c r="AF12" s="30">
        <v>1</v>
      </c>
      <c r="AG12" s="30">
        <v>0</v>
      </c>
      <c r="AH12" s="30">
        <v>4</v>
      </c>
      <c r="AI12" s="30" t="s">
        <v>740</v>
      </c>
      <c r="AJ12" s="30">
        <v>16.69</v>
      </c>
      <c r="AL12" s="29">
        <v>2697065107</v>
      </c>
      <c r="AM12" s="30" t="s">
        <v>741</v>
      </c>
    </row>
    <row r="13" ht="57" spans="1:39">
      <c r="A13" s="35" t="s">
        <v>226</v>
      </c>
      <c r="B13" s="36">
        <v>40</v>
      </c>
      <c r="C13" s="17"/>
      <c r="D13" s="17"/>
      <c r="E13" s="26" t="s">
        <v>315</v>
      </c>
      <c r="F13" s="27">
        <v>6</v>
      </c>
      <c r="G13" s="27">
        <v>2</v>
      </c>
      <c r="H13" s="17"/>
      <c r="I13" s="17"/>
      <c r="J13" s="26">
        <v>4238699688</v>
      </c>
      <c r="K13" s="27">
        <v>100</v>
      </c>
      <c r="L13" s="27">
        <v>1699</v>
      </c>
      <c r="M13" s="27">
        <v>1699</v>
      </c>
      <c r="N13" s="27">
        <v>313</v>
      </c>
      <c r="R13" s="33"/>
      <c r="S13" s="34"/>
      <c r="V13" s="28"/>
      <c r="W13" s="28"/>
      <c r="Z13" s="29">
        <v>4684129758</v>
      </c>
      <c r="AA13" s="30">
        <v>6619</v>
      </c>
      <c r="AB13" s="30">
        <v>24</v>
      </c>
      <c r="AC13" s="30" t="s">
        <v>708</v>
      </c>
      <c r="AD13" s="30">
        <v>77.4</v>
      </c>
      <c r="AE13" s="30">
        <v>0</v>
      </c>
      <c r="AF13" s="30">
        <v>0</v>
      </c>
      <c r="AG13" s="30">
        <v>0</v>
      </c>
      <c r="AH13" s="30">
        <v>4</v>
      </c>
      <c r="AI13" s="30" t="s">
        <v>742</v>
      </c>
      <c r="AJ13" s="30">
        <v>0</v>
      </c>
      <c r="AL13" s="29">
        <v>4687067332</v>
      </c>
      <c r="AM13" s="30" t="s">
        <v>743</v>
      </c>
    </row>
    <row r="14" ht="30" spans="1:39">
      <c r="A14" s="35" t="s">
        <v>297</v>
      </c>
      <c r="B14" s="36">
        <v>20</v>
      </c>
      <c r="C14" s="17"/>
      <c r="D14" s="17"/>
      <c r="E14" s="26" t="s">
        <v>141</v>
      </c>
      <c r="F14" s="27">
        <v>5</v>
      </c>
      <c r="G14" s="27">
        <v>0</v>
      </c>
      <c r="H14" s="17"/>
      <c r="I14" s="17"/>
      <c r="J14" s="26">
        <v>4238819076</v>
      </c>
      <c r="K14" s="27">
        <v>100</v>
      </c>
      <c r="L14" s="27">
        <v>696</v>
      </c>
      <c r="M14" s="27">
        <v>994.29</v>
      </c>
      <c r="N14" s="27">
        <v>50</v>
      </c>
      <c r="R14" s="33"/>
      <c r="S14" s="34"/>
      <c r="V14" s="31"/>
      <c r="W14" s="31"/>
      <c r="Z14" s="29">
        <v>2515701467</v>
      </c>
      <c r="AA14" s="30">
        <v>5804</v>
      </c>
      <c r="AB14" s="30">
        <v>53</v>
      </c>
      <c r="AC14" s="30" t="s">
        <v>744</v>
      </c>
      <c r="AD14" s="30">
        <v>314.46</v>
      </c>
      <c r="AE14" s="30">
        <v>4</v>
      </c>
      <c r="AF14" s="30">
        <v>3</v>
      </c>
      <c r="AG14" s="30">
        <v>1</v>
      </c>
      <c r="AH14" s="30">
        <v>0</v>
      </c>
      <c r="AI14" s="30" t="s">
        <v>745</v>
      </c>
      <c r="AJ14" s="30">
        <v>14.44</v>
      </c>
      <c r="AL14" s="29">
        <v>4684057184</v>
      </c>
      <c r="AM14" s="30" t="s">
        <v>746</v>
      </c>
    </row>
    <row r="15" ht="57" spans="1:39">
      <c r="A15" s="35" t="s">
        <v>359</v>
      </c>
      <c r="B15" s="36">
        <v>0</v>
      </c>
      <c r="C15" s="17"/>
      <c r="D15" s="17"/>
      <c r="E15" s="26" t="s">
        <v>345</v>
      </c>
      <c r="F15" s="27">
        <v>4</v>
      </c>
      <c r="G15" s="27">
        <v>1</v>
      </c>
      <c r="H15" s="17"/>
      <c r="I15" s="17"/>
      <c r="J15" s="26">
        <v>4683662970</v>
      </c>
      <c r="K15" s="26" t="s">
        <v>731</v>
      </c>
      <c r="L15" s="27">
        <v>469</v>
      </c>
      <c r="M15" s="27">
        <v>677.14</v>
      </c>
      <c r="N15" s="27">
        <v>4</v>
      </c>
      <c r="R15" s="33"/>
      <c r="S15" s="34"/>
      <c r="V15" s="31"/>
      <c r="W15" s="31"/>
      <c r="Z15" s="29">
        <v>2515489727</v>
      </c>
      <c r="AA15" s="30">
        <v>5564</v>
      </c>
      <c r="AB15" s="30">
        <v>41</v>
      </c>
      <c r="AC15" s="30" t="s">
        <v>708</v>
      </c>
      <c r="AD15" s="30">
        <v>346.04</v>
      </c>
      <c r="AE15" s="30">
        <v>0</v>
      </c>
      <c r="AF15" s="30">
        <v>0</v>
      </c>
      <c r="AG15" s="30">
        <v>0</v>
      </c>
      <c r="AH15" s="30">
        <v>2</v>
      </c>
      <c r="AI15" s="30" t="s">
        <v>747</v>
      </c>
      <c r="AJ15" s="30">
        <v>0</v>
      </c>
      <c r="AL15" s="29">
        <v>4238574572</v>
      </c>
      <c r="AM15" s="30" t="s">
        <v>748</v>
      </c>
    </row>
    <row r="16" ht="57.75" spans="1:39">
      <c r="A16" s="35" t="s">
        <v>339</v>
      </c>
      <c r="B16" s="36">
        <v>29</v>
      </c>
      <c r="C16" s="17"/>
      <c r="D16" s="17"/>
      <c r="E16" s="26" t="s">
        <v>170</v>
      </c>
      <c r="F16" s="27">
        <v>1</v>
      </c>
      <c r="G16" s="27">
        <v>0</v>
      </c>
      <c r="H16" s="17"/>
      <c r="I16" s="17"/>
      <c r="J16" s="26">
        <v>4683730910</v>
      </c>
      <c r="K16" s="26" t="s">
        <v>731</v>
      </c>
      <c r="L16" s="27">
        <v>400</v>
      </c>
      <c r="M16" s="27">
        <v>571.43</v>
      </c>
      <c r="N16" s="27">
        <v>1</v>
      </c>
      <c r="R16" s="33"/>
      <c r="S16" s="34"/>
      <c r="V16" s="31"/>
      <c r="W16" s="31"/>
      <c r="Z16" s="29">
        <v>2696975635</v>
      </c>
      <c r="AA16" s="30">
        <v>5151</v>
      </c>
      <c r="AB16" s="30">
        <v>4</v>
      </c>
      <c r="AC16" s="30" t="s">
        <v>708</v>
      </c>
      <c r="AD16" s="30">
        <v>9.21</v>
      </c>
      <c r="AE16" s="30">
        <v>0</v>
      </c>
      <c r="AF16" s="30">
        <v>0</v>
      </c>
      <c r="AG16" s="30">
        <v>0</v>
      </c>
      <c r="AH16" s="30">
        <v>2</v>
      </c>
      <c r="AI16" s="30" t="s">
        <v>749</v>
      </c>
      <c r="AJ16" s="30">
        <v>0</v>
      </c>
      <c r="AL16" s="29">
        <v>4684059764</v>
      </c>
      <c r="AM16" s="30" t="s">
        <v>750</v>
      </c>
    </row>
    <row r="17" ht="44.25" spans="1:39">
      <c r="A17" s="35" t="s">
        <v>148</v>
      </c>
      <c r="B17" s="36">
        <v>30</v>
      </c>
      <c r="C17" s="17"/>
      <c r="D17" s="17"/>
      <c r="E17" s="26" t="s">
        <v>303</v>
      </c>
      <c r="F17" s="27">
        <v>4</v>
      </c>
      <c r="G17" s="27">
        <v>0</v>
      </c>
      <c r="H17" s="17"/>
      <c r="I17" s="17"/>
      <c r="J17" s="26">
        <v>4683845582</v>
      </c>
      <c r="K17" s="26" t="s">
        <v>731</v>
      </c>
      <c r="L17" s="27">
        <v>238</v>
      </c>
      <c r="M17" s="27">
        <v>340</v>
      </c>
      <c r="N17" s="27">
        <v>4</v>
      </c>
      <c r="R17" s="33"/>
      <c r="S17" s="34"/>
      <c r="V17" s="28"/>
      <c r="W17" s="28"/>
      <c r="Z17" s="29">
        <v>4684059764</v>
      </c>
      <c r="AA17" s="30">
        <v>4580</v>
      </c>
      <c r="AB17" s="30">
        <v>13</v>
      </c>
      <c r="AC17" s="30" t="s">
        <v>708</v>
      </c>
      <c r="AD17" s="30">
        <v>25.53</v>
      </c>
      <c r="AE17" s="30">
        <v>0</v>
      </c>
      <c r="AF17" s="30">
        <v>0</v>
      </c>
      <c r="AG17" s="30">
        <v>0</v>
      </c>
      <c r="AH17" s="30">
        <v>1</v>
      </c>
      <c r="AI17" s="30" t="s">
        <v>751</v>
      </c>
      <c r="AJ17" s="30">
        <v>0</v>
      </c>
      <c r="AL17" s="29">
        <v>4684129758</v>
      </c>
      <c r="AM17" s="30" t="s">
        <v>752</v>
      </c>
    </row>
    <row r="18" ht="57.75" spans="1:39">
      <c r="A18" s="35" t="s">
        <v>170</v>
      </c>
      <c r="B18" s="36">
        <v>27</v>
      </c>
      <c r="C18" s="17"/>
      <c r="D18" s="17"/>
      <c r="E18" s="26" t="s">
        <v>257</v>
      </c>
      <c r="F18" s="27">
        <v>1</v>
      </c>
      <c r="G18" s="27">
        <v>0</v>
      </c>
      <c r="H18" s="17"/>
      <c r="I18" s="17"/>
      <c r="J18" s="26">
        <v>4683874212</v>
      </c>
      <c r="K18" s="27">
        <v>100</v>
      </c>
      <c r="L18" s="27">
        <v>507</v>
      </c>
      <c r="M18" s="27">
        <v>724.29</v>
      </c>
      <c r="N18" s="27">
        <v>27</v>
      </c>
      <c r="R18" s="33"/>
      <c r="S18" s="34"/>
      <c r="V18" s="28"/>
      <c r="W18" s="28"/>
      <c r="Z18" s="29">
        <v>2696841915</v>
      </c>
      <c r="AA18" s="30">
        <v>4344</v>
      </c>
      <c r="AB18" s="30">
        <v>9</v>
      </c>
      <c r="AC18" s="30" t="s">
        <v>708</v>
      </c>
      <c r="AD18" s="30">
        <v>36.22</v>
      </c>
      <c r="AE18" s="30">
        <v>0</v>
      </c>
      <c r="AF18" s="30">
        <v>0</v>
      </c>
      <c r="AG18" s="30">
        <v>0</v>
      </c>
      <c r="AH18" s="30">
        <v>3</v>
      </c>
      <c r="AI18" s="30" t="s">
        <v>753</v>
      </c>
      <c r="AJ18" s="30">
        <v>0</v>
      </c>
      <c r="AL18" s="29">
        <v>4238699688</v>
      </c>
      <c r="AM18" s="30" t="s">
        <v>754</v>
      </c>
    </row>
    <row r="19" ht="20.25" spans="1:39">
      <c r="A19" s="35" t="s">
        <v>157</v>
      </c>
      <c r="B19" s="36">
        <v>30</v>
      </c>
      <c r="C19" s="17"/>
      <c r="D19" s="17"/>
      <c r="E19" s="41" t="s">
        <v>110</v>
      </c>
      <c r="F19" s="42">
        <v>2</v>
      </c>
      <c r="G19" s="42">
        <v>1</v>
      </c>
      <c r="H19" s="17"/>
      <c r="I19" s="17"/>
      <c r="J19" s="26">
        <v>4683876182</v>
      </c>
      <c r="K19" s="26" t="s">
        <v>731</v>
      </c>
      <c r="L19" s="27">
        <v>559</v>
      </c>
      <c r="M19" s="27">
        <v>798.57</v>
      </c>
      <c r="N19" s="27">
        <v>2</v>
      </c>
      <c r="R19" s="33"/>
      <c r="S19" s="34"/>
      <c r="V19" s="28"/>
      <c r="W19" s="28"/>
      <c r="Z19" s="29">
        <v>2698823949</v>
      </c>
      <c r="AA19" s="30">
        <v>4176</v>
      </c>
      <c r="AB19" s="30">
        <v>5</v>
      </c>
      <c r="AC19" s="30" t="s">
        <v>708</v>
      </c>
      <c r="AD19" s="30">
        <v>16.7</v>
      </c>
      <c r="AE19" s="30">
        <v>0</v>
      </c>
      <c r="AF19" s="30">
        <v>0</v>
      </c>
      <c r="AG19" s="30">
        <v>0</v>
      </c>
      <c r="AH19" s="30">
        <v>0</v>
      </c>
      <c r="AI19" s="30" t="s">
        <v>708</v>
      </c>
      <c r="AJ19" s="30">
        <v>0</v>
      </c>
      <c r="AL19" s="29">
        <v>4700259114</v>
      </c>
      <c r="AM19" s="30" t="s">
        <v>755</v>
      </c>
    </row>
    <row r="20" ht="57.75" spans="1:39">
      <c r="A20" s="35" t="s">
        <v>309</v>
      </c>
      <c r="B20" s="36">
        <v>8</v>
      </c>
      <c r="C20" s="17"/>
      <c r="D20" s="17"/>
      <c r="E20" s="41" t="s">
        <v>232</v>
      </c>
      <c r="F20" s="42">
        <v>3</v>
      </c>
      <c r="G20" s="42">
        <v>0</v>
      </c>
      <c r="H20" s="17"/>
      <c r="I20" s="17"/>
      <c r="J20" s="26">
        <v>4684057184</v>
      </c>
      <c r="K20" s="27">
        <v>100</v>
      </c>
      <c r="L20" s="27">
        <v>267.14</v>
      </c>
      <c r="M20" s="27">
        <v>392.86</v>
      </c>
      <c r="N20" s="27">
        <v>44</v>
      </c>
      <c r="R20" s="33"/>
      <c r="S20" s="34"/>
      <c r="V20" s="28"/>
      <c r="W20" s="28"/>
      <c r="Z20" s="29">
        <v>2515831365</v>
      </c>
      <c r="AA20" s="30">
        <v>3717</v>
      </c>
      <c r="AB20" s="30">
        <v>21</v>
      </c>
      <c r="AC20" s="30" t="s">
        <v>756</v>
      </c>
      <c r="AD20" s="30">
        <v>36.96</v>
      </c>
      <c r="AE20" s="30">
        <v>1</v>
      </c>
      <c r="AF20" s="30">
        <v>1</v>
      </c>
      <c r="AG20" s="30">
        <v>0</v>
      </c>
      <c r="AH20" s="30">
        <v>4</v>
      </c>
      <c r="AI20" s="30" t="s">
        <v>730</v>
      </c>
      <c r="AJ20" s="30">
        <v>12.42</v>
      </c>
      <c r="AL20" s="29">
        <v>2696841915</v>
      </c>
      <c r="AM20" s="30" t="s">
        <v>757</v>
      </c>
    </row>
    <row r="21" ht="57" spans="1:39">
      <c r="A21" s="35" t="s">
        <v>363</v>
      </c>
      <c r="B21" s="36">
        <v>0</v>
      </c>
      <c r="C21" s="17"/>
      <c r="D21" s="17"/>
      <c r="E21" s="41" t="s">
        <v>203</v>
      </c>
      <c r="F21" s="42">
        <v>1</v>
      </c>
      <c r="G21" s="42">
        <v>0</v>
      </c>
      <c r="H21" s="17"/>
      <c r="I21" s="17"/>
      <c r="J21" s="26">
        <v>4684059764</v>
      </c>
      <c r="K21" s="27">
        <v>100</v>
      </c>
      <c r="L21" s="27">
        <v>320</v>
      </c>
      <c r="M21" s="27">
        <v>457.14</v>
      </c>
      <c r="N21" s="27">
        <v>32</v>
      </c>
      <c r="R21" s="33"/>
      <c r="S21" s="34"/>
      <c r="V21" s="28"/>
      <c r="W21" s="28"/>
      <c r="Z21" s="29">
        <v>2698981225</v>
      </c>
      <c r="AA21" s="30">
        <v>3230</v>
      </c>
      <c r="AB21" s="30">
        <v>14</v>
      </c>
      <c r="AC21" s="30" t="s">
        <v>758</v>
      </c>
      <c r="AD21" s="30">
        <v>87.15</v>
      </c>
      <c r="AE21" s="30">
        <v>1</v>
      </c>
      <c r="AF21" s="30">
        <v>1</v>
      </c>
      <c r="AG21" s="30">
        <v>0</v>
      </c>
      <c r="AH21" s="30">
        <v>6</v>
      </c>
      <c r="AI21" s="30" t="s">
        <v>759</v>
      </c>
      <c r="AJ21" s="30">
        <v>5.69</v>
      </c>
      <c r="AL21" s="29">
        <v>2698823949</v>
      </c>
      <c r="AM21" s="30" t="s">
        <v>760</v>
      </c>
    </row>
    <row r="22" ht="30" spans="1:39">
      <c r="A22" s="35" t="s">
        <v>122</v>
      </c>
      <c r="B22" s="36">
        <v>10</v>
      </c>
      <c r="C22" s="17"/>
      <c r="D22" s="17"/>
      <c r="E22" s="41" t="s">
        <v>122</v>
      </c>
      <c r="F22" s="42">
        <v>2</v>
      </c>
      <c r="G22" s="42">
        <v>0</v>
      </c>
      <c r="H22" s="17"/>
      <c r="I22" s="17"/>
      <c r="J22" s="26">
        <v>4684129758</v>
      </c>
      <c r="K22" s="27">
        <v>100</v>
      </c>
      <c r="L22" s="27">
        <v>259</v>
      </c>
      <c r="M22" s="27">
        <v>480</v>
      </c>
      <c r="N22" s="27">
        <v>51</v>
      </c>
      <c r="Z22" s="29">
        <v>4687132032</v>
      </c>
      <c r="AA22" s="30">
        <v>3084</v>
      </c>
      <c r="AB22" s="30">
        <v>6</v>
      </c>
      <c r="AC22" s="30" t="s">
        <v>708</v>
      </c>
      <c r="AD22" s="30">
        <v>16.33</v>
      </c>
      <c r="AE22" s="30">
        <v>0</v>
      </c>
      <c r="AF22" s="30">
        <v>0</v>
      </c>
      <c r="AG22" s="30">
        <v>0</v>
      </c>
      <c r="AH22" s="30">
        <v>2</v>
      </c>
      <c r="AI22" s="30" t="s">
        <v>761</v>
      </c>
      <c r="AJ22" s="30">
        <v>0</v>
      </c>
      <c r="AL22" s="29">
        <v>2698981225</v>
      </c>
      <c r="AM22" s="30" t="s">
        <v>762</v>
      </c>
    </row>
    <row r="23" ht="43.5" spans="1:39">
      <c r="A23" s="35" t="s">
        <v>105</v>
      </c>
      <c r="B23" s="36">
        <v>8</v>
      </c>
      <c r="C23" s="17"/>
      <c r="D23" s="17"/>
      <c r="E23" s="41" t="s">
        <v>117</v>
      </c>
      <c r="F23" s="42">
        <v>4</v>
      </c>
      <c r="G23" s="42">
        <v>0</v>
      </c>
      <c r="H23" s="17"/>
      <c r="I23" s="17"/>
      <c r="J23" s="26">
        <v>4686940782</v>
      </c>
      <c r="K23" s="27">
        <v>100</v>
      </c>
      <c r="L23" s="27">
        <v>599</v>
      </c>
      <c r="M23" s="27">
        <v>855.71</v>
      </c>
      <c r="N23" s="27">
        <v>93</v>
      </c>
      <c r="Z23" s="29">
        <v>4687079756</v>
      </c>
      <c r="AA23" s="30">
        <v>1936</v>
      </c>
      <c r="AB23" s="30">
        <v>8</v>
      </c>
      <c r="AC23" s="30" t="s">
        <v>763</v>
      </c>
      <c r="AD23" s="30">
        <v>34.51</v>
      </c>
      <c r="AE23" s="30">
        <v>2</v>
      </c>
      <c r="AF23" s="30">
        <v>2</v>
      </c>
      <c r="AG23" s="30">
        <v>0</v>
      </c>
      <c r="AH23" s="30">
        <v>1</v>
      </c>
      <c r="AI23" s="30" t="s">
        <v>764</v>
      </c>
      <c r="AJ23" s="30">
        <v>12.11</v>
      </c>
      <c r="AL23" s="29">
        <v>2515701467</v>
      </c>
      <c r="AM23" s="30" t="s">
        <v>745</v>
      </c>
    </row>
    <row r="24" ht="43.5" spans="1:39">
      <c r="A24" s="35" t="s">
        <v>220</v>
      </c>
      <c r="B24" s="36">
        <v>30</v>
      </c>
      <c r="C24" s="17"/>
      <c r="D24" s="17"/>
      <c r="E24" s="41" t="s">
        <v>239</v>
      </c>
      <c r="F24" s="42">
        <v>1</v>
      </c>
      <c r="G24" s="42">
        <v>0</v>
      </c>
      <c r="H24" s="17"/>
      <c r="I24" s="17"/>
      <c r="J24" s="26">
        <v>4687019062</v>
      </c>
      <c r="K24" s="26" t="s">
        <v>731</v>
      </c>
      <c r="L24" s="27">
        <v>229</v>
      </c>
      <c r="M24" s="27">
        <v>327.14</v>
      </c>
      <c r="N24" s="27">
        <v>3</v>
      </c>
      <c r="Z24" s="29">
        <v>4686940782</v>
      </c>
      <c r="AA24" s="30">
        <v>1893</v>
      </c>
      <c r="AB24" s="30">
        <v>26</v>
      </c>
      <c r="AC24" s="30" t="s">
        <v>765</v>
      </c>
      <c r="AD24" s="30">
        <v>149.77</v>
      </c>
      <c r="AE24" s="30">
        <v>2</v>
      </c>
      <c r="AF24" s="30">
        <v>2</v>
      </c>
      <c r="AG24" s="30">
        <v>0</v>
      </c>
      <c r="AH24" s="30">
        <v>8</v>
      </c>
      <c r="AI24" s="30" t="s">
        <v>766</v>
      </c>
      <c r="AJ24" s="30">
        <v>8</v>
      </c>
      <c r="AL24" s="29">
        <v>4687132032</v>
      </c>
      <c r="AM24" s="30" t="s">
        <v>767</v>
      </c>
    </row>
    <row r="25" ht="57" spans="1:39">
      <c r="A25" s="35" t="s">
        <v>175</v>
      </c>
      <c r="B25" s="36">
        <v>19</v>
      </c>
      <c r="C25" s="17"/>
      <c r="D25" s="17"/>
      <c r="E25" s="41" t="s">
        <v>192</v>
      </c>
      <c r="F25" s="42">
        <v>1</v>
      </c>
      <c r="G25" s="42">
        <v>1</v>
      </c>
      <c r="H25" s="17"/>
      <c r="I25" s="17"/>
      <c r="J25" s="26">
        <v>4687030984</v>
      </c>
      <c r="K25" s="27">
        <v>100</v>
      </c>
      <c r="L25" s="27">
        <v>799</v>
      </c>
      <c r="M25" s="27">
        <v>1272.86</v>
      </c>
      <c r="N25" s="27">
        <v>60</v>
      </c>
      <c r="Z25" s="29">
        <v>4683845582</v>
      </c>
      <c r="AA25" s="30">
        <v>1860</v>
      </c>
      <c r="AB25" s="30">
        <v>2</v>
      </c>
      <c r="AC25" s="30" t="s">
        <v>708</v>
      </c>
      <c r="AD25" s="30">
        <v>2.32</v>
      </c>
      <c r="AE25" s="30">
        <v>0</v>
      </c>
      <c r="AF25" s="30">
        <v>0</v>
      </c>
      <c r="AG25" s="30">
        <v>0</v>
      </c>
      <c r="AH25" s="30">
        <v>0</v>
      </c>
      <c r="AI25" s="30" t="s">
        <v>708</v>
      </c>
      <c r="AJ25" s="30">
        <v>0</v>
      </c>
      <c r="AL25" s="29">
        <v>2515489727</v>
      </c>
      <c r="AM25" s="30" t="s">
        <v>747</v>
      </c>
    </row>
    <row r="26" ht="57" spans="1:39">
      <c r="A26" s="35" t="s">
        <v>257</v>
      </c>
      <c r="B26" s="36">
        <v>42</v>
      </c>
      <c r="C26" s="17"/>
      <c r="D26" s="17"/>
      <c r="E26" s="41" t="s">
        <v>251</v>
      </c>
      <c r="F26" s="42">
        <v>2</v>
      </c>
      <c r="G26" s="42">
        <v>2</v>
      </c>
      <c r="H26" s="17"/>
      <c r="I26" s="17"/>
      <c r="J26" s="26">
        <v>4687042964</v>
      </c>
      <c r="K26" s="27">
        <v>100</v>
      </c>
      <c r="L26" s="27">
        <v>1299</v>
      </c>
      <c r="M26" s="27">
        <v>2361.43</v>
      </c>
      <c r="N26" s="27">
        <v>63</v>
      </c>
      <c r="Z26" s="29">
        <v>4683730910</v>
      </c>
      <c r="AA26" s="30">
        <v>1595</v>
      </c>
      <c r="AB26" s="30">
        <v>1</v>
      </c>
      <c r="AC26" s="30" t="s">
        <v>708</v>
      </c>
      <c r="AD26" s="30">
        <v>1.81</v>
      </c>
      <c r="AE26" s="30">
        <v>0</v>
      </c>
      <c r="AF26" s="30">
        <v>0</v>
      </c>
      <c r="AG26" s="30">
        <v>0</v>
      </c>
      <c r="AH26" s="30">
        <v>0</v>
      </c>
      <c r="AI26" s="30" t="s">
        <v>708</v>
      </c>
      <c r="AJ26" s="30">
        <v>0</v>
      </c>
      <c r="AL26" s="29">
        <v>4683876182</v>
      </c>
      <c r="AM26" s="30" t="s">
        <v>708</v>
      </c>
    </row>
    <row r="27" spans="1:39">
      <c r="A27" s="35" t="s">
        <v>192</v>
      </c>
      <c r="B27" s="36">
        <v>49</v>
      </c>
      <c r="C27" s="17"/>
      <c r="D27" s="17"/>
      <c r="E27" s="41"/>
      <c r="F27" s="42"/>
      <c r="G27" s="42"/>
      <c r="H27" s="17"/>
      <c r="I27" s="17"/>
      <c r="J27" s="26">
        <v>4687067332</v>
      </c>
      <c r="K27" s="27">
        <v>100</v>
      </c>
      <c r="L27" s="27">
        <v>155.98</v>
      </c>
      <c r="M27" s="27">
        <v>255.71</v>
      </c>
      <c r="N27" s="27">
        <v>14</v>
      </c>
      <c r="Z27" s="29">
        <v>4683662970</v>
      </c>
      <c r="AA27" s="30">
        <v>1495</v>
      </c>
      <c r="AB27" s="30">
        <v>2</v>
      </c>
      <c r="AC27" s="30" t="s">
        <v>708</v>
      </c>
      <c r="AD27" s="30">
        <v>3.64</v>
      </c>
      <c r="AE27" s="30">
        <v>0</v>
      </c>
      <c r="AF27" s="30">
        <v>0</v>
      </c>
      <c r="AG27" s="30">
        <v>0</v>
      </c>
      <c r="AH27" s="30">
        <v>0</v>
      </c>
      <c r="AI27" s="30" t="s">
        <v>708</v>
      </c>
      <c r="AJ27" s="30">
        <v>0</v>
      </c>
      <c r="AL27" s="29">
        <v>4686940782</v>
      </c>
      <c r="AM27" s="30" t="s">
        <v>768</v>
      </c>
    </row>
    <row r="28" spans="1:39">
      <c r="A28" s="35" t="s">
        <v>208</v>
      </c>
      <c r="B28" s="36">
        <v>33</v>
      </c>
      <c r="C28" s="17"/>
      <c r="D28" s="17"/>
      <c r="E28" s="41"/>
      <c r="F28" s="42"/>
      <c r="G28" s="42"/>
      <c r="H28" s="17"/>
      <c r="I28" s="17"/>
      <c r="J28" s="26">
        <v>4687079756</v>
      </c>
      <c r="K28" s="27">
        <v>100</v>
      </c>
      <c r="L28" s="27">
        <v>208.97</v>
      </c>
      <c r="M28" s="27">
        <v>302.86</v>
      </c>
      <c r="N28" s="27">
        <v>23</v>
      </c>
      <c r="Z28" s="29">
        <v>4683876182</v>
      </c>
      <c r="AA28" s="30">
        <v>1448</v>
      </c>
      <c r="AB28" s="30">
        <v>0</v>
      </c>
      <c r="AC28" s="30" t="s">
        <v>708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 t="s">
        <v>708</v>
      </c>
      <c r="AJ28" s="30">
        <v>0</v>
      </c>
      <c r="AL28" s="29">
        <v>4687079756</v>
      </c>
      <c r="AM28" s="30" t="s">
        <v>769</v>
      </c>
    </row>
    <row r="29" spans="1:39">
      <c r="A29" s="35" t="s">
        <v>321</v>
      </c>
      <c r="B29" s="36">
        <v>15</v>
      </c>
      <c r="C29" s="17"/>
      <c r="D29" s="17"/>
      <c r="E29" s="41"/>
      <c r="F29" s="42"/>
      <c r="G29" s="42"/>
      <c r="H29" s="17"/>
      <c r="I29" s="17"/>
      <c r="J29" s="26">
        <v>4687080914</v>
      </c>
      <c r="K29" s="27">
        <v>100</v>
      </c>
      <c r="L29" s="27">
        <v>399</v>
      </c>
      <c r="M29" s="27">
        <v>570</v>
      </c>
      <c r="N29" s="27">
        <v>111</v>
      </c>
      <c r="Z29" s="29">
        <v>4683874212</v>
      </c>
      <c r="AA29" s="30">
        <v>1120</v>
      </c>
      <c r="AB29" s="30">
        <v>14</v>
      </c>
      <c r="AC29" s="30" t="s">
        <v>770</v>
      </c>
      <c r="AD29" s="30">
        <v>62.28</v>
      </c>
      <c r="AE29" s="30">
        <v>1</v>
      </c>
      <c r="AF29" s="30">
        <v>1</v>
      </c>
      <c r="AG29" s="30">
        <v>0</v>
      </c>
      <c r="AH29" s="30">
        <v>0</v>
      </c>
      <c r="AI29" s="30" t="s">
        <v>770</v>
      </c>
      <c r="AJ29" s="30">
        <v>8.14</v>
      </c>
      <c r="AL29" s="29">
        <v>4683845582</v>
      </c>
      <c r="AM29" s="30" t="s">
        <v>708</v>
      </c>
    </row>
    <row r="30" spans="1:39">
      <c r="A30" s="35" t="s">
        <v>128</v>
      </c>
      <c r="B30" s="36">
        <v>0</v>
      </c>
      <c r="C30" s="17"/>
      <c r="D30" s="17"/>
      <c r="E30" s="41"/>
      <c r="F30" s="42"/>
      <c r="G30" s="42"/>
      <c r="H30" s="17"/>
      <c r="I30" s="17"/>
      <c r="J30" s="26">
        <v>4687109248</v>
      </c>
      <c r="K30" s="27">
        <v>100</v>
      </c>
      <c r="L30" s="27">
        <v>1369</v>
      </c>
      <c r="M30" s="27">
        <v>2270</v>
      </c>
      <c r="N30" s="27">
        <v>89</v>
      </c>
      <c r="Z30" s="29">
        <v>4687019062</v>
      </c>
      <c r="AA30" s="30">
        <v>1073</v>
      </c>
      <c r="AB30" s="30">
        <v>0</v>
      </c>
      <c r="AC30" s="30" t="s">
        <v>708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 t="s">
        <v>708</v>
      </c>
      <c r="AJ30" s="30">
        <v>0</v>
      </c>
      <c r="AL30" s="29">
        <v>4683730910</v>
      </c>
      <c r="AM30" s="30" t="s">
        <v>708</v>
      </c>
    </row>
    <row r="31" spans="1:39">
      <c r="A31" s="35" t="s">
        <v>251</v>
      </c>
      <c r="B31" s="36">
        <v>42</v>
      </c>
      <c r="C31" s="17"/>
      <c r="D31" s="17"/>
      <c r="E31" s="41"/>
      <c r="F31" s="42"/>
      <c r="G31" s="42"/>
      <c r="H31" s="17"/>
      <c r="I31" s="17"/>
      <c r="J31" s="26">
        <v>4687132032</v>
      </c>
      <c r="K31" s="27">
        <v>100</v>
      </c>
      <c r="L31" s="27">
        <v>280</v>
      </c>
      <c r="M31" s="27">
        <v>400</v>
      </c>
      <c r="N31" s="27">
        <v>15</v>
      </c>
      <c r="Z31" s="29">
        <v>2705951099</v>
      </c>
      <c r="AA31" s="30">
        <v>511</v>
      </c>
      <c r="AB31" s="30">
        <v>0</v>
      </c>
      <c r="AC31" s="30" t="s">
        <v>708</v>
      </c>
      <c r="AD31" s="30">
        <v>0</v>
      </c>
      <c r="AE31" s="30">
        <v>0</v>
      </c>
      <c r="AF31" s="30">
        <v>0</v>
      </c>
      <c r="AG31" s="30">
        <v>0</v>
      </c>
      <c r="AH31" s="30">
        <v>1</v>
      </c>
      <c r="AI31" s="30" t="s">
        <v>708</v>
      </c>
      <c r="AJ31" s="30">
        <v>0</v>
      </c>
      <c r="AL31" s="29">
        <v>4683662970</v>
      </c>
      <c r="AM31" s="30" t="s">
        <v>708</v>
      </c>
    </row>
    <row r="32" spans="1:39">
      <c r="A32" s="35" t="s">
        <v>134</v>
      </c>
      <c r="B32" s="36">
        <v>0</v>
      </c>
      <c r="C32" s="17"/>
      <c r="D32" s="17"/>
      <c r="E32" s="41"/>
      <c r="F32" s="42"/>
      <c r="G32" s="42"/>
      <c r="H32" s="17"/>
      <c r="I32" s="17"/>
      <c r="J32" s="26">
        <v>4700259114</v>
      </c>
      <c r="K32" s="27">
        <v>100</v>
      </c>
      <c r="L32" s="27">
        <v>439</v>
      </c>
      <c r="M32" s="27">
        <v>752.86</v>
      </c>
      <c r="N32" s="27">
        <v>30</v>
      </c>
      <c r="Z32" s="29">
        <v>2698952707</v>
      </c>
      <c r="AA32" s="30">
        <v>36</v>
      </c>
      <c r="AB32" s="30">
        <v>0</v>
      </c>
      <c r="AC32" s="30" t="s">
        <v>708</v>
      </c>
      <c r="AD32" s="30">
        <v>0</v>
      </c>
      <c r="AE32" s="30">
        <v>0</v>
      </c>
      <c r="AF32" s="30">
        <v>0</v>
      </c>
      <c r="AG32" s="30">
        <v>0</v>
      </c>
      <c r="AH32" s="30">
        <v>0</v>
      </c>
      <c r="AI32" s="30" t="s">
        <v>708</v>
      </c>
      <c r="AJ32" s="30">
        <v>0</v>
      </c>
      <c r="AL32" s="29">
        <v>4687019062</v>
      </c>
      <c r="AM32" s="30" t="s">
        <v>708</v>
      </c>
    </row>
    <row r="33" spans="1:39">
      <c r="A33" s="35" t="s">
        <v>333</v>
      </c>
      <c r="B33" s="36">
        <v>30</v>
      </c>
      <c r="C33" s="17"/>
      <c r="D33" s="17"/>
      <c r="E33" s="41"/>
      <c r="F33" s="42"/>
      <c r="G33" s="42"/>
      <c r="H33" s="17"/>
      <c r="I33" s="17"/>
      <c r="J33" s="26"/>
      <c r="K33" s="26"/>
      <c r="L33" s="27"/>
      <c r="M33" s="27"/>
      <c r="N33" s="27"/>
      <c r="Z33" s="29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L33" s="29">
        <v>4683874212</v>
      </c>
      <c r="AM33" s="30" t="s">
        <v>771</v>
      </c>
    </row>
    <row r="34" spans="1:39">
      <c r="A34" s="35" t="s">
        <v>262</v>
      </c>
      <c r="B34" s="36">
        <v>16</v>
      </c>
      <c r="C34" s="17"/>
      <c r="D34" s="17"/>
      <c r="E34" s="41"/>
      <c r="F34" s="42"/>
      <c r="G34" s="42"/>
      <c r="H34" s="17"/>
      <c r="I34" s="17"/>
      <c r="J34" s="41"/>
      <c r="K34" s="42"/>
      <c r="L34" s="42"/>
      <c r="M34" s="42"/>
      <c r="N34" s="42"/>
      <c r="Z34" s="4"/>
      <c r="AA34" s="5"/>
      <c r="AB34" s="5"/>
      <c r="AC34" s="5"/>
      <c r="AD34" s="5"/>
      <c r="AE34" s="5"/>
      <c r="AF34" s="5"/>
      <c r="AG34" s="5"/>
      <c r="AH34" s="5"/>
      <c r="AI34" s="5"/>
      <c r="AJ34" s="5"/>
      <c r="AL34" s="29">
        <v>2705951099</v>
      </c>
      <c r="AM34" s="30" t="s">
        <v>772</v>
      </c>
    </row>
    <row r="35" spans="1:39">
      <c r="A35" s="35" t="s">
        <v>352</v>
      </c>
      <c r="B35" s="36">
        <v>17</v>
      </c>
      <c r="C35" s="17"/>
      <c r="D35" s="17"/>
      <c r="E35" s="41"/>
      <c r="F35" s="42"/>
      <c r="G35" s="42"/>
      <c r="H35" s="17"/>
      <c r="I35" s="17"/>
      <c r="J35" s="41"/>
      <c r="K35" s="42"/>
      <c r="L35" s="42"/>
      <c r="M35" s="42"/>
      <c r="N35" s="42"/>
      <c r="Z35" s="4"/>
      <c r="AA35" s="5"/>
      <c r="AB35" s="5"/>
      <c r="AC35" s="5"/>
      <c r="AD35" s="5"/>
      <c r="AE35" s="5"/>
      <c r="AF35" s="5"/>
      <c r="AG35" s="5"/>
      <c r="AH35" s="5"/>
      <c r="AI35" s="5"/>
      <c r="AJ35" s="5"/>
      <c r="AL35" s="29">
        <v>2705860671</v>
      </c>
      <c r="AM35" s="30" t="s">
        <v>708</v>
      </c>
    </row>
    <row r="36" spans="1:39">
      <c r="A36" s="35" t="s">
        <v>96</v>
      </c>
      <c r="B36" s="36">
        <v>16</v>
      </c>
      <c r="C36" s="17"/>
      <c r="D36" s="17"/>
      <c r="E36" s="41"/>
      <c r="F36" s="42"/>
      <c r="G36" s="42"/>
      <c r="H36" s="17"/>
      <c r="I36" s="17"/>
      <c r="J36" s="41"/>
      <c r="K36" s="42"/>
      <c r="L36" s="42"/>
      <c r="M36" s="42"/>
      <c r="N36" s="42"/>
      <c r="Z36" s="4"/>
      <c r="AA36" s="5"/>
      <c r="AB36" s="5"/>
      <c r="AC36" s="5"/>
      <c r="AD36" s="5"/>
      <c r="AE36" s="5"/>
      <c r="AF36" s="5"/>
      <c r="AG36" s="5"/>
      <c r="AH36" s="5"/>
      <c r="AI36" s="5"/>
      <c r="AJ36" s="5"/>
      <c r="AL36" s="29">
        <v>2698952707</v>
      </c>
      <c r="AM36" s="30" t="s">
        <v>708</v>
      </c>
    </row>
    <row r="37" spans="1:39">
      <c r="A37" s="35" t="s">
        <v>214</v>
      </c>
      <c r="B37" s="36">
        <v>0</v>
      </c>
      <c r="C37" s="17"/>
      <c r="D37" s="17"/>
      <c r="E37" s="41"/>
      <c r="F37" s="42"/>
      <c r="G37" s="42"/>
      <c r="H37" s="17"/>
      <c r="I37" s="17"/>
      <c r="J37" s="41"/>
      <c r="K37" s="42"/>
      <c r="L37" s="42"/>
      <c r="M37" s="42"/>
      <c r="N37" s="42"/>
      <c r="Z37" s="4"/>
      <c r="AA37" s="5"/>
      <c r="AB37" s="5"/>
      <c r="AC37" s="5"/>
      <c r="AD37" s="5"/>
      <c r="AE37" s="5"/>
      <c r="AF37" s="5"/>
      <c r="AG37" s="5"/>
      <c r="AH37" s="5"/>
      <c r="AI37" s="5"/>
      <c r="AJ37" s="5"/>
      <c r="AL37" s="29">
        <v>2698915223</v>
      </c>
      <c r="AM37" s="30" t="s">
        <v>773</v>
      </c>
    </row>
    <row r="38" spans="1:39">
      <c r="A38" s="35" t="s">
        <v>328</v>
      </c>
      <c r="B38" s="36">
        <v>30</v>
      </c>
      <c r="C38" s="17"/>
      <c r="D38" s="17"/>
      <c r="E38" s="41"/>
      <c r="F38" s="42"/>
      <c r="G38" s="42"/>
      <c r="H38" s="17"/>
      <c r="I38" s="17"/>
      <c r="J38" s="41"/>
      <c r="K38" s="41"/>
      <c r="L38" s="42"/>
      <c r="M38" s="42"/>
      <c r="N38" s="42"/>
      <c r="Z38" s="4"/>
      <c r="AA38" s="5"/>
      <c r="AB38" s="5"/>
      <c r="AC38" s="5"/>
      <c r="AD38" s="5"/>
      <c r="AE38" s="5"/>
      <c r="AF38" s="5"/>
      <c r="AG38" s="5"/>
      <c r="AH38" s="5"/>
      <c r="AI38" s="5"/>
      <c r="AJ38" s="5"/>
      <c r="AL38" s="4"/>
      <c r="AM38" s="5"/>
    </row>
    <row r="39" spans="1:39">
      <c r="A39" s="35" t="s">
        <v>198</v>
      </c>
      <c r="B39" s="36">
        <v>50</v>
      </c>
      <c r="C39" s="17"/>
      <c r="D39" s="17"/>
      <c r="E39" s="41"/>
      <c r="F39" s="42"/>
      <c r="G39" s="42"/>
      <c r="H39" s="17"/>
      <c r="I39" s="17"/>
      <c r="J39" s="41"/>
      <c r="K39" s="41"/>
      <c r="L39" s="42"/>
      <c r="M39" s="42"/>
      <c r="N39" s="42"/>
      <c r="Z39" s="4"/>
      <c r="AA39" s="5"/>
      <c r="AB39" s="5"/>
      <c r="AC39" s="5"/>
      <c r="AD39" s="5"/>
      <c r="AE39" s="5"/>
      <c r="AF39" s="5"/>
      <c r="AG39" s="5"/>
      <c r="AH39" s="5"/>
      <c r="AI39" s="5"/>
      <c r="AJ39" s="5"/>
      <c r="AL39" s="4"/>
      <c r="AM39" s="5"/>
    </row>
    <row r="40" spans="1:39">
      <c r="A40" s="35" t="s">
        <v>117</v>
      </c>
      <c r="B40" s="36">
        <v>36</v>
      </c>
      <c r="C40" s="17"/>
      <c r="D40" s="17"/>
      <c r="E40" s="41"/>
      <c r="F40" s="42"/>
      <c r="G40" s="42"/>
      <c r="H40" s="17"/>
      <c r="I40" s="17"/>
      <c r="J40" s="41"/>
      <c r="K40" s="42"/>
      <c r="L40" s="42"/>
      <c r="M40" s="42"/>
      <c r="N40" s="42"/>
      <c r="Z40" s="4"/>
      <c r="AA40" s="5"/>
      <c r="AB40" s="5"/>
      <c r="AC40" s="5"/>
      <c r="AD40" s="5"/>
      <c r="AE40" s="5"/>
      <c r="AF40" s="5"/>
      <c r="AG40" s="5"/>
      <c r="AH40" s="5"/>
      <c r="AI40" s="5"/>
      <c r="AJ40" s="5"/>
      <c r="AL40" s="4"/>
      <c r="AM40" s="5"/>
    </row>
    <row r="41" spans="1:39">
      <c r="A41" s="35" t="s">
        <v>315</v>
      </c>
      <c r="B41" s="36">
        <v>12</v>
      </c>
      <c r="C41" s="17"/>
      <c r="D41" s="17"/>
      <c r="E41" s="41"/>
      <c r="F41" s="42"/>
      <c r="G41" s="42"/>
      <c r="H41" s="17"/>
      <c r="I41" s="17"/>
      <c r="J41" s="41"/>
      <c r="K41" s="41"/>
      <c r="L41" s="42"/>
      <c r="M41" s="42"/>
      <c r="N41" s="42"/>
      <c r="Z41" s="4"/>
      <c r="AA41" s="5"/>
      <c r="AB41" s="5"/>
      <c r="AC41" s="5"/>
      <c r="AD41" s="5"/>
      <c r="AE41" s="5"/>
      <c r="AF41" s="5"/>
      <c r="AG41" s="5"/>
      <c r="AH41" s="5"/>
      <c r="AI41" s="5"/>
      <c r="AJ41" s="5"/>
      <c r="AL41" s="4"/>
      <c r="AM41" s="5"/>
    </row>
    <row r="42" spans="1:39">
      <c r="A42" s="35" t="s">
        <v>371</v>
      </c>
      <c r="B42" s="36">
        <v>0</v>
      </c>
      <c r="C42" s="17"/>
      <c r="D42" s="17"/>
      <c r="E42" s="41"/>
      <c r="F42" s="42"/>
      <c r="G42" s="42"/>
      <c r="H42" s="17"/>
      <c r="I42" s="17"/>
      <c r="J42" s="41"/>
      <c r="K42" s="41"/>
      <c r="L42" s="42"/>
      <c r="M42" s="42"/>
      <c r="N42" s="42"/>
      <c r="Z42" s="4"/>
      <c r="AA42" s="5"/>
      <c r="AB42" s="5"/>
      <c r="AC42" s="5"/>
      <c r="AD42" s="5"/>
      <c r="AE42" s="5"/>
      <c r="AF42" s="5"/>
      <c r="AG42" s="5"/>
      <c r="AH42" s="5"/>
      <c r="AI42" s="5"/>
      <c r="AJ42" s="5"/>
      <c r="AL42" s="4"/>
      <c r="AM42" s="5"/>
    </row>
    <row r="43" spans="1:39">
      <c r="A43" s="35" t="s">
        <v>367</v>
      </c>
      <c r="B43" s="36">
        <v>0</v>
      </c>
      <c r="C43" s="17"/>
      <c r="D43" s="17"/>
      <c r="E43" s="41"/>
      <c r="F43" s="42"/>
      <c r="G43" s="42"/>
      <c r="H43" s="17"/>
      <c r="I43" s="17"/>
      <c r="J43" s="41"/>
      <c r="K43" s="41"/>
      <c r="L43" s="42"/>
      <c r="M43" s="42"/>
      <c r="N43" s="42"/>
      <c r="Z43" s="4"/>
      <c r="AA43" s="5"/>
      <c r="AB43" s="5"/>
      <c r="AC43" s="5"/>
      <c r="AD43" s="5"/>
      <c r="AE43" s="5"/>
      <c r="AF43" s="5"/>
      <c r="AG43" s="5"/>
      <c r="AH43" s="5"/>
      <c r="AI43" s="5"/>
      <c r="AJ43" s="5"/>
      <c r="AL43" s="4"/>
      <c r="AM43" s="5"/>
    </row>
    <row r="44" spans="1:39">
      <c r="A44" s="35" t="s">
        <v>110</v>
      </c>
      <c r="B44" s="36">
        <v>37</v>
      </c>
      <c r="C44" s="17"/>
      <c r="D44" s="17"/>
      <c r="E44" s="41"/>
      <c r="F44" s="42"/>
      <c r="G44" s="42"/>
      <c r="H44" s="17"/>
      <c r="I44" s="17"/>
      <c r="J44" s="41"/>
      <c r="K44" s="41"/>
      <c r="L44" s="42"/>
      <c r="M44" s="42"/>
      <c r="N44" s="42"/>
      <c r="Z44" s="4"/>
      <c r="AA44" s="5"/>
      <c r="AB44" s="5"/>
      <c r="AC44" s="5"/>
      <c r="AD44" s="5"/>
      <c r="AE44" s="5"/>
      <c r="AF44" s="5"/>
      <c r="AG44" s="5"/>
      <c r="AH44" s="5"/>
      <c r="AI44" s="5"/>
      <c r="AJ44" s="5"/>
      <c r="AL44" s="4"/>
      <c r="AM44" s="5"/>
    </row>
    <row r="45" spans="1:39">
      <c r="A45" s="43"/>
      <c r="B45" s="44"/>
      <c r="C45" s="17"/>
      <c r="D45" s="17"/>
      <c r="E45" s="41"/>
      <c r="F45" s="42"/>
      <c r="G45" s="42"/>
      <c r="H45" s="17"/>
      <c r="I45" s="17"/>
      <c r="J45" s="41"/>
      <c r="K45" s="41"/>
      <c r="L45" s="42"/>
      <c r="M45" s="42"/>
      <c r="N45" s="42"/>
      <c r="Z45" s="4"/>
      <c r="AA45" s="5"/>
      <c r="AB45" s="5"/>
      <c r="AC45" s="5"/>
      <c r="AD45" s="5"/>
      <c r="AE45" s="5"/>
      <c r="AF45" s="5"/>
      <c r="AG45" s="5"/>
      <c r="AH45" s="5"/>
      <c r="AI45" s="5"/>
      <c r="AJ45" s="5"/>
      <c r="AL45" s="4"/>
      <c r="AM45" s="5"/>
    </row>
    <row r="46" spans="1:39">
      <c r="A46" s="43"/>
      <c r="B46" s="44"/>
      <c r="C46" s="17"/>
      <c r="D46" s="17"/>
      <c r="E46" s="41"/>
      <c r="F46" s="42"/>
      <c r="G46" s="42"/>
      <c r="H46" s="17"/>
      <c r="I46" s="17"/>
      <c r="J46" s="41"/>
      <c r="K46" s="41"/>
      <c r="L46" s="42"/>
      <c r="M46" s="42"/>
      <c r="N46" s="42"/>
      <c r="Z46" s="4"/>
      <c r="AA46" s="5"/>
      <c r="AB46" s="5"/>
      <c r="AC46" s="5"/>
      <c r="AD46" s="5"/>
      <c r="AE46" s="5"/>
      <c r="AF46" s="5"/>
      <c r="AG46" s="5"/>
      <c r="AH46" s="5"/>
      <c r="AI46" s="5"/>
      <c r="AJ46" s="5"/>
      <c r="AL46" s="4"/>
      <c r="AM46" s="5"/>
    </row>
    <row r="47" spans="1:39">
      <c r="A47" s="43"/>
      <c r="B47" s="44"/>
      <c r="C47" s="17"/>
      <c r="D47" s="17"/>
      <c r="E47" s="41"/>
      <c r="F47" s="42"/>
      <c r="G47" s="42"/>
      <c r="H47" s="17"/>
      <c r="I47" s="17"/>
      <c r="J47" s="41"/>
      <c r="K47" s="41"/>
      <c r="L47" s="42"/>
      <c r="M47" s="42"/>
      <c r="N47" s="42"/>
      <c r="Z47" s="4"/>
      <c r="AA47" s="5"/>
      <c r="AB47" s="5"/>
      <c r="AC47" s="5"/>
      <c r="AD47" s="5"/>
      <c r="AE47" s="5"/>
      <c r="AF47" s="5"/>
      <c r="AG47" s="5"/>
      <c r="AH47" s="5"/>
      <c r="AI47" s="5"/>
      <c r="AJ47" s="5"/>
      <c r="AL47" s="4"/>
      <c r="AM47" s="5"/>
    </row>
    <row r="48" spans="1:39">
      <c r="A48" s="43"/>
      <c r="B48" s="44"/>
      <c r="C48" s="17"/>
      <c r="D48" s="17"/>
      <c r="E48" s="41"/>
      <c r="F48" s="42"/>
      <c r="G48" s="42"/>
      <c r="H48" s="17"/>
      <c r="I48" s="17"/>
      <c r="J48" s="41"/>
      <c r="K48" s="41"/>
      <c r="L48" s="42"/>
      <c r="M48" s="42"/>
      <c r="N48" s="42"/>
      <c r="Z48" s="4"/>
      <c r="AA48" s="5"/>
      <c r="AB48" s="5"/>
      <c r="AC48" s="5"/>
      <c r="AD48" s="5"/>
      <c r="AE48" s="5"/>
      <c r="AF48" s="5"/>
      <c r="AG48" s="5"/>
      <c r="AH48" s="5"/>
      <c r="AI48" s="5"/>
      <c r="AJ48" s="5"/>
      <c r="AL48" s="4"/>
      <c r="AM48" s="5"/>
    </row>
    <row r="49" spans="1:39">
      <c r="A49" s="43"/>
      <c r="B49" s="44"/>
      <c r="C49" s="17"/>
      <c r="D49" s="17"/>
      <c r="E49" s="41"/>
      <c r="F49" s="42"/>
      <c r="G49" s="42"/>
      <c r="H49" s="17"/>
      <c r="I49" s="17"/>
      <c r="J49" s="41"/>
      <c r="K49" s="41"/>
      <c r="L49" s="42"/>
      <c r="M49" s="42"/>
      <c r="N49" s="42"/>
      <c r="Z49" s="4"/>
      <c r="AA49" s="5"/>
      <c r="AB49" s="5"/>
      <c r="AC49" s="5"/>
      <c r="AD49" s="5"/>
      <c r="AE49" s="5"/>
      <c r="AF49" s="5"/>
      <c r="AG49" s="5"/>
      <c r="AH49" s="5"/>
      <c r="AI49" s="5"/>
      <c r="AJ49" s="5"/>
      <c r="AL49" s="4"/>
      <c r="AM49" s="5"/>
    </row>
    <row r="50" spans="1:39">
      <c r="A50" s="43"/>
      <c r="B50" s="44"/>
      <c r="C50" s="17"/>
      <c r="D50" s="17"/>
      <c r="E50" s="41"/>
      <c r="F50" s="42"/>
      <c r="G50" s="42"/>
      <c r="H50" s="17"/>
      <c r="I50" s="17"/>
      <c r="J50" s="41"/>
      <c r="K50" s="41"/>
      <c r="L50" s="42"/>
      <c r="M50" s="42"/>
      <c r="N50" s="42"/>
      <c r="Z50" s="4"/>
      <c r="AA50" s="5"/>
      <c r="AB50" s="5"/>
      <c r="AC50" s="5"/>
      <c r="AD50" s="5"/>
      <c r="AE50" s="5"/>
      <c r="AF50" s="5"/>
      <c r="AG50" s="5"/>
      <c r="AH50" s="5"/>
      <c r="AI50" s="5"/>
      <c r="AJ50" s="5"/>
      <c r="AL50" s="4"/>
      <c r="AM50" s="5"/>
    </row>
    <row r="51" spans="1:39">
      <c r="A51" s="45"/>
      <c r="B51" s="46"/>
      <c r="C51" s="17"/>
      <c r="D51" s="17"/>
      <c r="E51" s="41"/>
      <c r="F51" s="42"/>
      <c r="G51" s="42"/>
      <c r="H51" s="17"/>
      <c r="I51" s="17"/>
      <c r="J51" s="41"/>
      <c r="K51" s="41"/>
      <c r="L51" s="42"/>
      <c r="M51" s="42"/>
      <c r="N51" s="42"/>
      <c r="Z51" s="4"/>
      <c r="AA51" s="5"/>
      <c r="AB51" s="5"/>
      <c r="AC51" s="5"/>
      <c r="AD51" s="5"/>
      <c r="AE51" s="5"/>
      <c r="AF51" s="5"/>
      <c r="AG51" s="5"/>
      <c r="AH51" s="5"/>
      <c r="AI51" s="5"/>
      <c r="AJ51" s="5"/>
      <c r="AL51" s="4"/>
      <c r="AM51" s="5"/>
    </row>
    <row r="52" spans="1:39">
      <c r="A52" s="43"/>
      <c r="B52" s="44"/>
      <c r="C52" s="17"/>
      <c r="D52" s="17"/>
      <c r="E52" s="41"/>
      <c r="F52" s="42"/>
      <c r="G52" s="42"/>
      <c r="H52" s="17"/>
      <c r="I52" s="17"/>
      <c r="J52" s="41"/>
      <c r="K52" s="42"/>
      <c r="L52" s="42"/>
      <c r="M52" s="42"/>
      <c r="N52" s="42"/>
      <c r="Z52" s="4"/>
      <c r="AA52" s="5"/>
      <c r="AB52" s="5"/>
      <c r="AC52" s="5"/>
      <c r="AD52" s="5"/>
      <c r="AE52" s="5"/>
      <c r="AF52" s="5"/>
      <c r="AG52" s="5"/>
      <c r="AH52" s="5"/>
      <c r="AI52" s="5"/>
      <c r="AJ52" s="5"/>
      <c r="AL52" s="4"/>
      <c r="AM52" s="5"/>
    </row>
    <row r="53" spans="1:39">
      <c r="A53" s="43"/>
      <c r="B53" s="44"/>
      <c r="C53" s="17"/>
      <c r="D53" s="17"/>
      <c r="E53" s="41"/>
      <c r="F53" s="42"/>
      <c r="G53" s="42"/>
      <c r="H53" s="17"/>
      <c r="I53" s="17"/>
      <c r="J53" s="41"/>
      <c r="K53" s="42"/>
      <c r="L53" s="42"/>
      <c r="M53" s="42"/>
      <c r="N53" s="42"/>
      <c r="Z53" s="4"/>
      <c r="AA53" s="5"/>
      <c r="AB53" s="5"/>
      <c r="AC53" s="5"/>
      <c r="AD53" s="5"/>
      <c r="AE53" s="5"/>
      <c r="AF53" s="5"/>
      <c r="AG53" s="5"/>
      <c r="AH53" s="5"/>
      <c r="AI53" s="5"/>
      <c r="AJ53" s="5"/>
      <c r="AL53" s="4"/>
      <c r="AM53" s="5"/>
    </row>
    <row r="54" spans="1:39">
      <c r="A54" s="43"/>
      <c r="B54" s="44"/>
      <c r="C54" s="17"/>
      <c r="D54" s="17"/>
      <c r="E54" s="41"/>
      <c r="F54" s="42"/>
      <c r="G54" s="42"/>
      <c r="H54" s="17"/>
      <c r="I54" s="17"/>
      <c r="J54" s="41"/>
      <c r="K54" s="42"/>
      <c r="L54" s="42"/>
      <c r="M54" s="42"/>
      <c r="N54" s="42"/>
      <c r="Z54" s="4"/>
      <c r="AA54" s="5"/>
      <c r="AB54" s="5"/>
      <c r="AC54" s="5"/>
      <c r="AD54" s="5"/>
      <c r="AE54" s="5"/>
      <c r="AF54" s="5"/>
      <c r="AG54" s="5"/>
      <c r="AH54" s="5"/>
      <c r="AI54" s="5"/>
      <c r="AJ54" s="5"/>
      <c r="AL54" s="4"/>
      <c r="AM54" s="5"/>
    </row>
    <row r="55" spans="1:39">
      <c r="A55" s="43"/>
      <c r="B55" s="44"/>
      <c r="C55" s="17"/>
      <c r="D55" s="17"/>
      <c r="E55" s="41"/>
      <c r="F55" s="42"/>
      <c r="G55" s="42"/>
      <c r="H55" s="17"/>
      <c r="I55" s="17"/>
      <c r="J55" s="41"/>
      <c r="K55" s="42"/>
      <c r="L55" s="42"/>
      <c r="M55" s="42"/>
      <c r="N55" s="42"/>
      <c r="Z55" s="4"/>
      <c r="AA55" s="5"/>
      <c r="AB55" s="5"/>
      <c r="AC55" s="5"/>
      <c r="AD55" s="5"/>
      <c r="AE55" s="5"/>
      <c r="AF55" s="5"/>
      <c r="AG55" s="5"/>
      <c r="AH55" s="5"/>
      <c r="AI55" s="5"/>
      <c r="AJ55" s="5"/>
      <c r="AL55" s="4"/>
      <c r="AM55" s="5"/>
    </row>
    <row r="56" spans="1:39">
      <c r="A56" s="43"/>
      <c r="B56" s="44"/>
      <c r="C56" s="17"/>
      <c r="D56" s="17"/>
      <c r="E56" s="41"/>
      <c r="F56" s="42"/>
      <c r="G56" s="42"/>
      <c r="H56" s="17"/>
      <c r="I56" s="17"/>
      <c r="J56" s="41"/>
      <c r="K56" s="42"/>
      <c r="L56" s="42"/>
      <c r="M56" s="42"/>
      <c r="N56" s="42"/>
      <c r="Z56" s="4"/>
      <c r="AA56" s="5"/>
      <c r="AB56" s="5"/>
      <c r="AC56" s="5"/>
      <c r="AD56" s="5"/>
      <c r="AE56" s="5"/>
      <c r="AF56" s="5"/>
      <c r="AG56" s="5"/>
      <c r="AH56" s="5"/>
      <c r="AI56" s="5"/>
      <c r="AJ56" s="5"/>
      <c r="AL56" s="4"/>
      <c r="AM56" s="5"/>
    </row>
    <row r="57" spans="1:39">
      <c r="A57" s="45"/>
      <c r="B57" s="46"/>
      <c r="C57" s="17"/>
      <c r="D57" s="17"/>
      <c r="E57" s="41"/>
      <c r="F57" s="42"/>
      <c r="G57" s="42"/>
      <c r="H57" s="17"/>
      <c r="I57" s="17"/>
      <c r="J57" s="41"/>
      <c r="K57" s="42"/>
      <c r="L57" s="42"/>
      <c r="M57" s="42"/>
      <c r="N57" s="42"/>
      <c r="Z57" s="4"/>
      <c r="AA57" s="5"/>
      <c r="AB57" s="5"/>
      <c r="AC57" s="5"/>
      <c r="AD57" s="5"/>
      <c r="AE57" s="5"/>
      <c r="AF57" s="5"/>
      <c r="AG57" s="5"/>
      <c r="AH57" s="5"/>
      <c r="AI57" s="5"/>
      <c r="AJ57" s="5"/>
      <c r="AL57" s="4"/>
      <c r="AM57" s="5"/>
    </row>
    <row r="58" spans="1:39">
      <c r="A58" s="43"/>
      <c r="B58" s="44"/>
      <c r="C58" s="17"/>
      <c r="D58" s="17"/>
      <c r="E58" s="41"/>
      <c r="F58" s="42"/>
      <c r="G58" s="42"/>
      <c r="H58" s="17"/>
      <c r="I58" s="17"/>
      <c r="J58" s="41"/>
      <c r="K58" s="42"/>
      <c r="L58" s="42"/>
      <c r="M58" s="42"/>
      <c r="N58" s="42"/>
      <c r="Z58" s="4"/>
      <c r="AA58" s="5"/>
      <c r="AB58" s="5"/>
      <c r="AC58" s="5"/>
      <c r="AD58" s="5"/>
      <c r="AE58" s="5"/>
      <c r="AF58" s="5"/>
      <c r="AG58" s="5"/>
      <c r="AH58" s="5"/>
      <c r="AI58" s="5"/>
      <c r="AJ58" s="5"/>
      <c r="AL58" s="4"/>
      <c r="AM58" s="5"/>
    </row>
    <row r="59" spans="1:39">
      <c r="A59" s="43"/>
      <c r="B59" s="44"/>
      <c r="C59" s="17"/>
      <c r="D59" s="17"/>
      <c r="E59" s="41"/>
      <c r="F59" s="42"/>
      <c r="G59" s="42"/>
      <c r="H59" s="17"/>
      <c r="I59" s="17"/>
      <c r="J59" s="41"/>
      <c r="K59" s="42"/>
      <c r="L59" s="42"/>
      <c r="M59" s="42"/>
      <c r="N59" s="42"/>
      <c r="Z59" s="4"/>
      <c r="AA59" s="5"/>
      <c r="AB59" s="5"/>
      <c r="AC59" s="5"/>
      <c r="AD59" s="5"/>
      <c r="AE59" s="5"/>
      <c r="AF59" s="5"/>
      <c r="AG59" s="5"/>
      <c r="AH59" s="5"/>
      <c r="AI59" s="5"/>
      <c r="AJ59" s="5"/>
      <c r="AL59" s="4"/>
      <c r="AM59" s="5"/>
    </row>
    <row r="60" spans="1:39">
      <c r="A60" s="43"/>
      <c r="B60" s="44"/>
      <c r="C60" s="17"/>
      <c r="D60" s="17"/>
      <c r="E60" s="41"/>
      <c r="F60" s="42"/>
      <c r="G60" s="42"/>
      <c r="H60" s="17"/>
      <c r="I60" s="17"/>
      <c r="J60" s="41"/>
      <c r="K60" s="42"/>
      <c r="L60" s="42"/>
      <c r="M60" s="42"/>
      <c r="N60" s="42"/>
      <c r="Z60" s="4"/>
      <c r="AA60" s="5"/>
      <c r="AB60" s="5"/>
      <c r="AC60" s="5"/>
      <c r="AD60" s="5"/>
      <c r="AE60" s="5"/>
      <c r="AF60" s="5"/>
      <c r="AG60" s="5"/>
      <c r="AH60" s="5"/>
      <c r="AI60" s="5"/>
      <c r="AJ60" s="5"/>
      <c r="AL60" s="4"/>
      <c r="AM60" s="5"/>
    </row>
    <row r="61" spans="1:39">
      <c r="A61" s="45"/>
      <c r="B61" s="46"/>
      <c r="C61" s="17"/>
      <c r="D61" s="17"/>
      <c r="E61" s="41"/>
      <c r="F61" s="42"/>
      <c r="G61" s="42"/>
      <c r="H61" s="17"/>
      <c r="I61" s="17"/>
      <c r="J61" s="41"/>
      <c r="K61" s="42"/>
      <c r="L61" s="42"/>
      <c r="M61" s="42"/>
      <c r="N61" s="42"/>
      <c r="Z61" s="4"/>
      <c r="AA61" s="5"/>
      <c r="AB61" s="5"/>
      <c r="AC61" s="5"/>
      <c r="AD61" s="5"/>
      <c r="AE61" s="5"/>
      <c r="AF61" s="5"/>
      <c r="AG61" s="5"/>
      <c r="AH61" s="5"/>
      <c r="AI61" s="5"/>
      <c r="AJ61" s="5"/>
      <c r="AL61" s="4"/>
      <c r="AM61" s="5"/>
    </row>
    <row r="62" spans="1:39">
      <c r="A62" s="43"/>
      <c r="B62" s="44"/>
      <c r="C62" s="17"/>
      <c r="D62" s="17"/>
      <c r="E62" s="41"/>
      <c r="F62" s="42"/>
      <c r="G62" s="42"/>
      <c r="H62" s="17"/>
      <c r="I62" s="17"/>
      <c r="J62" s="41"/>
      <c r="K62" s="42"/>
      <c r="L62" s="42"/>
      <c r="M62" s="42"/>
      <c r="N62" s="42"/>
      <c r="Z62" s="4"/>
      <c r="AA62" s="5"/>
      <c r="AB62" s="5"/>
      <c r="AC62" s="5"/>
      <c r="AD62" s="5"/>
      <c r="AE62" s="5"/>
      <c r="AF62" s="5"/>
      <c r="AG62" s="5"/>
      <c r="AH62" s="5"/>
      <c r="AI62" s="5"/>
      <c r="AJ62" s="5"/>
      <c r="AL62" s="4"/>
      <c r="AM62" s="5"/>
    </row>
    <row r="63" spans="1:39">
      <c r="A63" s="43"/>
      <c r="B63" s="44"/>
      <c r="C63" s="17"/>
      <c r="D63" s="17"/>
      <c r="E63" s="41"/>
      <c r="F63" s="42"/>
      <c r="G63" s="42"/>
      <c r="H63" s="17"/>
      <c r="I63" s="17"/>
      <c r="J63" s="41"/>
      <c r="K63" s="42"/>
      <c r="L63" s="42"/>
      <c r="M63" s="42"/>
      <c r="N63" s="42"/>
      <c r="Z63" s="4"/>
      <c r="AA63" s="5"/>
      <c r="AB63" s="5"/>
      <c r="AC63" s="5"/>
      <c r="AD63" s="5"/>
      <c r="AE63" s="5"/>
      <c r="AF63" s="5"/>
      <c r="AG63" s="5"/>
      <c r="AH63" s="5"/>
      <c r="AI63" s="5"/>
      <c r="AJ63" s="5"/>
      <c r="AL63" s="4"/>
      <c r="AM63" s="5"/>
    </row>
    <row r="64" spans="1:39">
      <c r="A64" s="43"/>
      <c r="B64" s="44"/>
      <c r="C64" s="17"/>
      <c r="D64" s="17"/>
      <c r="E64" s="41"/>
      <c r="F64" s="42"/>
      <c r="G64" s="42"/>
      <c r="H64" s="17"/>
      <c r="I64" s="17"/>
      <c r="J64" s="41"/>
      <c r="K64" s="42"/>
      <c r="L64" s="42"/>
      <c r="M64" s="42"/>
      <c r="N64" s="42"/>
      <c r="Z64" s="4"/>
      <c r="AA64" s="5"/>
      <c r="AB64" s="5"/>
      <c r="AC64" s="5"/>
      <c r="AD64" s="5"/>
      <c r="AE64" s="5"/>
      <c r="AF64" s="5"/>
      <c r="AG64" s="5"/>
      <c r="AH64" s="5"/>
      <c r="AI64" s="5"/>
      <c r="AJ64" s="5"/>
      <c r="AL64" s="4"/>
      <c r="AM64" s="5"/>
    </row>
    <row r="65" spans="1:39">
      <c r="A65" s="43"/>
      <c r="B65" s="44"/>
      <c r="C65" s="17"/>
      <c r="D65" s="17"/>
      <c r="E65" s="41"/>
      <c r="F65" s="42"/>
      <c r="G65" s="42"/>
      <c r="H65" s="17"/>
      <c r="I65" s="17"/>
      <c r="J65" s="41"/>
      <c r="K65" s="42"/>
      <c r="L65" s="42"/>
      <c r="M65" s="42"/>
      <c r="N65" s="42"/>
      <c r="Z65" s="4"/>
      <c r="AA65" s="5"/>
      <c r="AB65" s="5"/>
      <c r="AC65" s="5"/>
      <c r="AD65" s="5"/>
      <c r="AE65" s="5"/>
      <c r="AF65" s="5"/>
      <c r="AG65" s="5"/>
      <c r="AH65" s="5"/>
      <c r="AI65" s="5"/>
      <c r="AJ65" s="5"/>
      <c r="AL65" s="4"/>
      <c r="AM65" s="5"/>
    </row>
    <row r="66" spans="1:39">
      <c r="A66" s="43"/>
      <c r="B66" s="44"/>
      <c r="C66" s="17"/>
      <c r="D66" s="17"/>
      <c r="E66" s="41"/>
      <c r="F66" s="42"/>
      <c r="G66" s="42"/>
      <c r="H66" s="17"/>
      <c r="I66" s="17"/>
      <c r="J66" s="41"/>
      <c r="K66" s="42"/>
      <c r="L66" s="42"/>
      <c r="M66" s="42"/>
      <c r="N66" s="42"/>
      <c r="Z66" s="4"/>
      <c r="AA66" s="5"/>
      <c r="AB66" s="5"/>
      <c r="AC66" s="5"/>
      <c r="AD66" s="5"/>
      <c r="AE66" s="5"/>
      <c r="AF66" s="5"/>
      <c r="AG66" s="5"/>
      <c r="AH66" s="5"/>
      <c r="AI66" s="5"/>
      <c r="AJ66" s="5"/>
      <c r="AL66" s="4"/>
      <c r="AM66" s="5"/>
    </row>
    <row r="67" spans="1:39">
      <c r="A67" s="43"/>
      <c r="B67" s="44"/>
      <c r="C67" s="17"/>
      <c r="D67" s="17"/>
      <c r="E67" s="41"/>
      <c r="F67" s="42"/>
      <c r="G67" s="42"/>
      <c r="H67" s="17"/>
      <c r="I67" s="17"/>
      <c r="J67" s="41"/>
      <c r="K67" s="42"/>
      <c r="L67" s="42"/>
      <c r="M67" s="42"/>
      <c r="N67" s="42"/>
      <c r="Z67" s="4"/>
      <c r="AA67" s="5"/>
      <c r="AB67" s="5"/>
      <c r="AC67" s="5"/>
      <c r="AD67" s="5"/>
      <c r="AE67" s="5"/>
      <c r="AF67" s="5"/>
      <c r="AG67" s="5"/>
      <c r="AH67" s="5"/>
      <c r="AI67" s="5"/>
      <c r="AJ67" s="5"/>
      <c r="AL67" s="4"/>
      <c r="AM67" s="5"/>
    </row>
    <row r="68" spans="1:39">
      <c r="A68" s="43"/>
      <c r="B68" s="44"/>
      <c r="C68" s="17"/>
      <c r="D68" s="17"/>
      <c r="E68" s="41"/>
      <c r="F68" s="42"/>
      <c r="G68" s="42"/>
      <c r="H68" s="17"/>
      <c r="I68" s="17"/>
      <c r="J68" s="41"/>
      <c r="K68" s="42"/>
      <c r="L68" s="42"/>
      <c r="M68" s="42"/>
      <c r="N68" s="42"/>
      <c r="Z68" s="4"/>
      <c r="AA68" s="5"/>
      <c r="AB68" s="5"/>
      <c r="AC68" s="5"/>
      <c r="AD68" s="5"/>
      <c r="AE68" s="5"/>
      <c r="AF68" s="5"/>
      <c r="AG68" s="5"/>
      <c r="AH68" s="5"/>
      <c r="AI68" s="5"/>
      <c r="AJ68" s="5"/>
      <c r="AL68" s="4"/>
      <c r="AM68" s="5"/>
    </row>
    <row r="69" spans="1:39">
      <c r="A69" s="43"/>
      <c r="B69" s="44"/>
      <c r="C69" s="17"/>
      <c r="D69" s="17"/>
      <c r="E69" s="41"/>
      <c r="F69" s="42"/>
      <c r="G69" s="42"/>
      <c r="H69" s="17"/>
      <c r="I69" s="17"/>
      <c r="J69" s="41"/>
      <c r="K69" s="42"/>
      <c r="L69" s="42"/>
      <c r="M69" s="42"/>
      <c r="N69" s="42"/>
      <c r="Z69" s="4"/>
      <c r="AA69" s="5"/>
      <c r="AB69" s="5"/>
      <c r="AC69" s="5"/>
      <c r="AD69" s="5"/>
      <c r="AE69" s="5"/>
      <c r="AF69" s="5"/>
      <c r="AG69" s="5"/>
      <c r="AH69" s="5"/>
      <c r="AI69" s="5"/>
      <c r="AJ69" s="5"/>
      <c r="AL69" s="4"/>
      <c r="AM69" s="5"/>
    </row>
    <row r="70" spans="1:39">
      <c r="A70" s="43"/>
      <c r="B70" s="44"/>
      <c r="C70" s="17"/>
      <c r="D70" s="17"/>
      <c r="E70" s="41"/>
      <c r="F70" s="42"/>
      <c r="G70" s="42"/>
      <c r="H70" s="17"/>
      <c r="I70" s="17"/>
      <c r="J70" s="41"/>
      <c r="K70" s="42"/>
      <c r="L70" s="42"/>
      <c r="M70" s="42"/>
      <c r="N70" s="42"/>
      <c r="Z70" s="4"/>
      <c r="AA70" s="5"/>
      <c r="AB70" s="5"/>
      <c r="AC70" s="5"/>
      <c r="AD70" s="5"/>
      <c r="AE70" s="5"/>
      <c r="AF70" s="5"/>
      <c r="AG70" s="5"/>
      <c r="AH70" s="5"/>
      <c r="AI70" s="5"/>
      <c r="AJ70" s="5"/>
      <c r="AL70" s="4"/>
      <c r="AM70" s="5"/>
    </row>
    <row r="71" spans="1:39">
      <c r="A71" s="43"/>
      <c r="B71" s="44"/>
      <c r="C71" s="17"/>
      <c r="D71" s="17"/>
      <c r="E71" s="41"/>
      <c r="F71" s="42"/>
      <c r="G71" s="42"/>
      <c r="H71" s="17"/>
      <c r="I71" s="17"/>
      <c r="J71" s="41"/>
      <c r="K71" s="42"/>
      <c r="L71" s="42"/>
      <c r="M71" s="42"/>
      <c r="N71" s="42"/>
      <c r="Z71" s="4"/>
      <c r="AA71" s="5"/>
      <c r="AB71" s="5"/>
      <c r="AC71" s="5"/>
      <c r="AD71" s="5"/>
      <c r="AE71" s="5"/>
      <c r="AF71" s="5"/>
      <c r="AG71" s="5"/>
      <c r="AH71" s="5"/>
      <c r="AI71" s="5"/>
      <c r="AJ71" s="5"/>
      <c r="AL71" s="4"/>
      <c r="AM71" s="5"/>
    </row>
    <row r="72" spans="1:39">
      <c r="A72" s="43"/>
      <c r="B72" s="44"/>
      <c r="C72" s="17"/>
      <c r="D72" s="17"/>
      <c r="E72" s="41"/>
      <c r="F72" s="42"/>
      <c r="G72" s="42"/>
      <c r="H72" s="17"/>
      <c r="I72" s="17"/>
      <c r="J72" s="41"/>
      <c r="K72" s="42"/>
      <c r="L72" s="42"/>
      <c r="M72" s="42"/>
      <c r="N72" s="42"/>
      <c r="Z72" s="4"/>
      <c r="AA72" s="5"/>
      <c r="AB72" s="5"/>
      <c r="AC72" s="5"/>
      <c r="AD72" s="5"/>
      <c r="AE72" s="5"/>
      <c r="AF72" s="5"/>
      <c r="AG72" s="5"/>
      <c r="AH72" s="5"/>
      <c r="AI72" s="5"/>
      <c r="AJ72" s="5"/>
      <c r="AL72" s="4"/>
      <c r="AM72" s="5"/>
    </row>
    <row r="73" spans="1:39">
      <c r="A73" s="43"/>
      <c r="B73" s="44"/>
      <c r="C73" s="17"/>
      <c r="D73" s="17"/>
      <c r="E73" s="41"/>
      <c r="F73" s="42"/>
      <c r="G73" s="42"/>
      <c r="H73" s="17"/>
      <c r="I73" s="17"/>
      <c r="J73" s="41"/>
      <c r="K73" s="42"/>
      <c r="L73" s="42"/>
      <c r="M73" s="42"/>
      <c r="N73" s="42"/>
      <c r="Z73" s="4"/>
      <c r="AA73" s="5"/>
      <c r="AB73" s="5"/>
      <c r="AC73" s="5"/>
      <c r="AD73" s="5"/>
      <c r="AE73" s="5"/>
      <c r="AF73" s="5"/>
      <c r="AG73" s="5"/>
      <c r="AH73" s="5"/>
      <c r="AI73" s="5"/>
      <c r="AJ73" s="5"/>
      <c r="AL73" s="4"/>
      <c r="AM73" s="5"/>
    </row>
    <row r="74" spans="1:39">
      <c r="A74" s="43"/>
      <c r="B74" s="44"/>
      <c r="C74" s="17"/>
      <c r="D74" s="17"/>
      <c r="E74" s="41"/>
      <c r="F74" s="42"/>
      <c r="G74" s="42"/>
      <c r="H74" s="17"/>
      <c r="I74" s="17"/>
      <c r="J74" s="41"/>
      <c r="K74" s="42"/>
      <c r="L74" s="42"/>
      <c r="M74" s="42"/>
      <c r="N74" s="42"/>
      <c r="Z74" s="4"/>
      <c r="AA74" s="5"/>
      <c r="AB74" s="5"/>
      <c r="AC74" s="5"/>
      <c r="AD74" s="5"/>
      <c r="AE74" s="5"/>
      <c r="AF74" s="5"/>
      <c r="AG74" s="5"/>
      <c r="AH74" s="5"/>
      <c r="AI74" s="5"/>
      <c r="AJ74" s="5"/>
      <c r="AL74" s="4"/>
      <c r="AM74" s="5"/>
    </row>
    <row r="75" spans="1:39">
      <c r="A75" s="43"/>
      <c r="B75" s="44"/>
      <c r="C75" s="17"/>
      <c r="D75" s="17"/>
      <c r="E75" s="41"/>
      <c r="F75" s="42"/>
      <c r="G75" s="42"/>
      <c r="H75" s="17"/>
      <c r="I75" s="17"/>
      <c r="J75" s="41"/>
      <c r="K75" s="42"/>
      <c r="L75" s="42"/>
      <c r="M75" s="42"/>
      <c r="N75" s="42"/>
      <c r="Z75" s="4"/>
      <c r="AA75" s="5"/>
      <c r="AB75" s="5"/>
      <c r="AC75" s="5"/>
      <c r="AD75" s="5"/>
      <c r="AE75" s="5"/>
      <c r="AF75" s="5"/>
      <c r="AG75" s="5"/>
      <c r="AH75" s="5"/>
      <c r="AI75" s="5"/>
      <c r="AJ75" s="5"/>
      <c r="AL75" s="4"/>
      <c r="AM75" s="5"/>
    </row>
    <row r="76" spans="1:39">
      <c r="A76" s="43"/>
      <c r="B76" s="44"/>
      <c r="C76" s="17"/>
      <c r="D76" s="17"/>
      <c r="E76" s="41"/>
      <c r="F76" s="42"/>
      <c r="G76" s="42"/>
      <c r="H76" s="17"/>
      <c r="I76" s="17"/>
      <c r="J76" s="41"/>
      <c r="K76" s="42"/>
      <c r="L76" s="42"/>
      <c r="M76" s="42"/>
      <c r="N76" s="42"/>
      <c r="Z76" s="4"/>
      <c r="AA76" s="5"/>
      <c r="AB76" s="5"/>
      <c r="AC76" s="5"/>
      <c r="AD76" s="5"/>
      <c r="AE76" s="5"/>
      <c r="AF76" s="5"/>
      <c r="AG76" s="5"/>
      <c r="AH76" s="5"/>
      <c r="AI76" s="5"/>
      <c r="AJ76" s="5"/>
      <c r="AL76" s="4"/>
      <c r="AM76" s="5"/>
    </row>
    <row r="77" spans="1:39">
      <c r="A77" s="43"/>
      <c r="B77" s="44"/>
      <c r="C77" s="17"/>
      <c r="D77" s="17"/>
      <c r="E77" s="41"/>
      <c r="F77" s="42"/>
      <c r="G77" s="42"/>
      <c r="H77" s="17"/>
      <c r="I77" s="17"/>
      <c r="J77" s="41"/>
      <c r="K77" s="42"/>
      <c r="L77" s="42"/>
      <c r="M77" s="42"/>
      <c r="N77" s="42"/>
      <c r="Z77" s="4"/>
      <c r="AA77" s="5"/>
      <c r="AB77" s="5"/>
      <c r="AC77" s="5"/>
      <c r="AD77" s="5"/>
      <c r="AE77" s="5"/>
      <c r="AF77" s="5"/>
      <c r="AG77" s="5"/>
      <c r="AH77" s="5"/>
      <c r="AI77" s="5"/>
      <c r="AJ77" s="5"/>
      <c r="AL77" s="4"/>
      <c r="AM77" s="5"/>
    </row>
    <row r="78" spans="1:39">
      <c r="A78" s="43"/>
      <c r="B78" s="44"/>
      <c r="C78" s="17"/>
      <c r="D78" s="17"/>
      <c r="E78" s="41"/>
      <c r="F78" s="42"/>
      <c r="G78" s="42"/>
      <c r="H78" s="17"/>
      <c r="I78" s="17"/>
      <c r="J78" s="41"/>
      <c r="K78" s="42"/>
      <c r="L78" s="42"/>
      <c r="M78" s="42"/>
      <c r="N78" s="42"/>
      <c r="Z78" s="4"/>
      <c r="AA78" s="5"/>
      <c r="AB78" s="5"/>
      <c r="AC78" s="5"/>
      <c r="AD78" s="5"/>
      <c r="AE78" s="5"/>
      <c r="AF78" s="5"/>
      <c r="AG78" s="5"/>
      <c r="AH78" s="5"/>
      <c r="AI78" s="5"/>
      <c r="AJ78" s="5"/>
      <c r="AL78" s="4"/>
      <c r="AM78" s="5"/>
    </row>
    <row r="79" spans="1:39">
      <c r="A79" s="43"/>
      <c r="B79" s="44"/>
      <c r="C79" s="17"/>
      <c r="D79" s="17"/>
      <c r="E79" s="41"/>
      <c r="F79" s="42"/>
      <c r="G79" s="42"/>
      <c r="H79" s="17"/>
      <c r="I79" s="17"/>
      <c r="J79" s="41"/>
      <c r="K79" s="42"/>
      <c r="L79" s="42"/>
      <c r="M79" s="42"/>
      <c r="N79" s="42"/>
      <c r="Z79" s="4"/>
      <c r="AA79" s="5"/>
      <c r="AB79" s="5"/>
      <c r="AC79" s="5"/>
      <c r="AD79" s="5"/>
      <c r="AE79" s="5"/>
      <c r="AF79" s="5"/>
      <c r="AG79" s="5"/>
      <c r="AH79" s="5"/>
      <c r="AI79" s="5"/>
      <c r="AJ79" s="5"/>
      <c r="AL79" s="4"/>
      <c r="AM79" s="5"/>
    </row>
    <row r="80" spans="1:39">
      <c r="A80" s="43"/>
      <c r="B80" s="44"/>
      <c r="C80" s="17"/>
      <c r="D80" s="17"/>
      <c r="E80" s="41"/>
      <c r="F80" s="42"/>
      <c r="G80" s="42"/>
      <c r="H80" s="17"/>
      <c r="I80" s="17"/>
      <c r="J80" s="41"/>
      <c r="K80" s="42"/>
      <c r="L80" s="42"/>
      <c r="M80" s="42"/>
      <c r="N80" s="42"/>
      <c r="Z80" s="4"/>
      <c r="AA80" s="5"/>
      <c r="AB80" s="5"/>
      <c r="AC80" s="5"/>
      <c r="AD80" s="5"/>
      <c r="AE80" s="5"/>
      <c r="AF80" s="5"/>
      <c r="AG80" s="5"/>
      <c r="AH80" s="5"/>
      <c r="AI80" s="5"/>
      <c r="AJ80" s="5"/>
      <c r="AL80" s="4"/>
      <c r="AM80" s="5"/>
    </row>
    <row r="81" spans="1:39">
      <c r="A81" s="43"/>
      <c r="B81" s="44"/>
      <c r="C81" s="17"/>
      <c r="D81" s="17"/>
      <c r="E81" s="41"/>
      <c r="F81" s="42"/>
      <c r="G81" s="42"/>
      <c r="H81" s="17"/>
      <c r="I81" s="17"/>
      <c r="J81" s="41"/>
      <c r="K81" s="42"/>
      <c r="L81" s="42"/>
      <c r="M81" s="42"/>
      <c r="N81" s="42"/>
      <c r="Z81" s="4"/>
      <c r="AA81" s="5"/>
      <c r="AB81" s="5"/>
      <c r="AC81" s="5"/>
      <c r="AD81" s="5"/>
      <c r="AE81" s="5"/>
      <c r="AF81" s="5"/>
      <c r="AG81" s="5"/>
      <c r="AH81" s="5"/>
      <c r="AI81" s="5"/>
      <c r="AJ81" s="5"/>
      <c r="AL81" s="4"/>
      <c r="AM81" s="5"/>
    </row>
    <row r="82" spans="1:39">
      <c r="A82" s="43"/>
      <c r="B82" s="44"/>
      <c r="C82" s="17"/>
      <c r="D82" s="17"/>
      <c r="E82" s="41"/>
      <c r="F82" s="42"/>
      <c r="G82" s="42"/>
      <c r="H82" s="17"/>
      <c r="I82" s="17"/>
      <c r="J82" s="41"/>
      <c r="K82" s="42"/>
      <c r="L82" s="42"/>
      <c r="M82" s="42"/>
      <c r="N82" s="42"/>
      <c r="Z82" s="4"/>
      <c r="AA82" s="5"/>
      <c r="AB82" s="5"/>
      <c r="AC82" s="5"/>
      <c r="AD82" s="5"/>
      <c r="AE82" s="5"/>
      <c r="AF82" s="5"/>
      <c r="AG82" s="5"/>
      <c r="AH82" s="5"/>
      <c r="AI82" s="5"/>
      <c r="AJ82" s="5"/>
      <c r="AL82" s="4"/>
      <c r="AM82" s="5"/>
    </row>
    <row r="83" spans="1:39">
      <c r="A83" s="43"/>
      <c r="B83" s="44"/>
      <c r="C83" s="17"/>
      <c r="D83" s="17"/>
      <c r="E83" s="41"/>
      <c r="F83" s="42"/>
      <c r="G83" s="42"/>
      <c r="H83" s="17"/>
      <c r="I83" s="17"/>
      <c r="J83" s="41"/>
      <c r="K83" s="42"/>
      <c r="L83" s="42"/>
      <c r="M83" s="42"/>
      <c r="N83" s="42"/>
      <c r="Z83" s="4"/>
      <c r="AA83" s="5"/>
      <c r="AB83" s="5"/>
      <c r="AC83" s="5"/>
      <c r="AD83" s="5"/>
      <c r="AE83" s="5"/>
      <c r="AF83" s="5"/>
      <c r="AG83" s="5"/>
      <c r="AH83" s="5"/>
      <c r="AI83" s="5"/>
      <c r="AJ83" s="5"/>
      <c r="AL83" s="4"/>
      <c r="AM83" s="5"/>
    </row>
    <row r="84" spans="1:39">
      <c r="A84" s="43"/>
      <c r="B84" s="44"/>
      <c r="C84" s="17"/>
      <c r="D84" s="17"/>
      <c r="E84" s="41"/>
      <c r="F84" s="42"/>
      <c r="G84" s="42"/>
      <c r="H84" s="17"/>
      <c r="I84" s="17"/>
      <c r="J84" s="41"/>
      <c r="K84" s="41"/>
      <c r="L84" s="42"/>
      <c r="M84" s="42"/>
      <c r="N84" s="42"/>
      <c r="Z84" s="4"/>
      <c r="AA84" s="5"/>
      <c r="AB84" s="5"/>
      <c r="AC84" s="5"/>
      <c r="AD84" s="5"/>
      <c r="AE84" s="5"/>
      <c r="AF84" s="5"/>
      <c r="AG84" s="5"/>
      <c r="AH84" s="5"/>
      <c r="AI84" s="5"/>
      <c r="AJ84" s="5"/>
      <c r="AL84" s="4"/>
      <c r="AM84" s="5"/>
    </row>
    <row r="85" spans="1:39">
      <c r="A85" s="43"/>
      <c r="B85" s="44"/>
      <c r="C85" s="17"/>
      <c r="D85" s="17"/>
      <c r="E85" s="41"/>
      <c r="F85" s="42"/>
      <c r="G85" s="42"/>
      <c r="H85" s="17"/>
      <c r="I85" s="17"/>
      <c r="J85" s="41"/>
      <c r="K85" s="41"/>
      <c r="L85" s="42"/>
      <c r="M85" s="42"/>
      <c r="N85" s="42"/>
      <c r="Z85" s="4"/>
      <c r="AA85" s="5"/>
      <c r="AB85" s="5"/>
      <c r="AC85" s="5"/>
      <c r="AD85" s="5"/>
      <c r="AE85" s="5"/>
      <c r="AF85" s="5"/>
      <c r="AG85" s="5"/>
      <c r="AH85" s="5"/>
      <c r="AI85" s="5"/>
      <c r="AJ85" s="5"/>
      <c r="AL85" s="4"/>
      <c r="AM85" s="5"/>
    </row>
    <row r="86" spans="1:39">
      <c r="A86" s="43"/>
      <c r="B86" s="44"/>
      <c r="C86" s="17"/>
      <c r="D86" s="17"/>
      <c r="E86" s="41"/>
      <c r="F86" s="42"/>
      <c r="G86" s="42"/>
      <c r="H86" s="17"/>
      <c r="I86" s="17"/>
      <c r="J86" s="41"/>
      <c r="K86" s="42"/>
      <c r="L86" s="42"/>
      <c r="M86" s="42"/>
      <c r="N86" s="42"/>
      <c r="Z86" s="4"/>
      <c r="AA86" s="5"/>
      <c r="AB86" s="5"/>
      <c r="AC86" s="5"/>
      <c r="AD86" s="5"/>
      <c r="AE86" s="5"/>
      <c r="AF86" s="5"/>
      <c r="AG86" s="5"/>
      <c r="AH86" s="5"/>
      <c r="AI86" s="5"/>
      <c r="AJ86" s="5"/>
      <c r="AL86" s="4"/>
      <c r="AM86" s="5"/>
    </row>
    <row r="87" spans="1:39">
      <c r="A87" s="45"/>
      <c r="B87" s="46"/>
      <c r="C87" s="17"/>
      <c r="D87" s="17"/>
      <c r="E87" s="41"/>
      <c r="F87" s="42"/>
      <c r="G87" s="42"/>
      <c r="H87" s="17"/>
      <c r="I87" s="17"/>
      <c r="J87" s="41"/>
      <c r="K87" s="42"/>
      <c r="L87" s="42"/>
      <c r="M87" s="42"/>
      <c r="N87" s="42"/>
      <c r="Z87" s="4"/>
      <c r="AA87" s="5"/>
      <c r="AB87" s="5"/>
      <c r="AC87" s="5"/>
      <c r="AD87" s="5"/>
      <c r="AE87" s="5"/>
      <c r="AF87" s="5"/>
      <c r="AG87" s="5"/>
      <c r="AH87" s="5"/>
      <c r="AI87" s="5"/>
      <c r="AJ87" s="5"/>
      <c r="AL87" s="4"/>
      <c r="AM87" s="5"/>
    </row>
    <row r="88" spans="1:39">
      <c r="A88" s="43"/>
      <c r="B88" s="44"/>
      <c r="C88" s="17"/>
      <c r="D88" s="17"/>
      <c r="E88" s="41"/>
      <c r="F88" s="42"/>
      <c r="G88" s="42"/>
      <c r="H88" s="17"/>
      <c r="I88" s="17"/>
      <c r="J88" s="41"/>
      <c r="K88" s="42"/>
      <c r="L88" s="42"/>
      <c r="M88" s="42"/>
      <c r="N88" s="42"/>
      <c r="Z88" s="4"/>
      <c r="AA88" s="5"/>
      <c r="AB88" s="5"/>
      <c r="AC88" s="5"/>
      <c r="AD88" s="5"/>
      <c r="AE88" s="5"/>
      <c r="AF88" s="5"/>
      <c r="AG88" s="5"/>
      <c r="AH88" s="5"/>
      <c r="AI88" s="5"/>
      <c r="AJ88" s="5"/>
      <c r="AL88" s="4"/>
      <c r="AM88" s="5"/>
    </row>
    <row r="89" spans="1:39">
      <c r="A89" s="43"/>
      <c r="B89" s="44"/>
      <c r="C89" s="17"/>
      <c r="D89" s="17"/>
      <c r="E89" s="41"/>
      <c r="F89" s="42"/>
      <c r="G89" s="42"/>
      <c r="H89" s="17"/>
      <c r="I89" s="17"/>
      <c r="J89" s="41"/>
      <c r="K89" s="41"/>
      <c r="L89" s="42"/>
      <c r="M89" s="42"/>
      <c r="N89" s="42"/>
      <c r="Z89" s="4"/>
      <c r="AA89" s="5"/>
      <c r="AB89" s="5"/>
      <c r="AC89" s="5"/>
      <c r="AD89" s="5"/>
      <c r="AE89" s="5"/>
      <c r="AF89" s="5"/>
      <c r="AG89" s="5"/>
      <c r="AH89" s="5"/>
      <c r="AI89" s="5"/>
      <c r="AJ89" s="5"/>
      <c r="AL89" s="4"/>
      <c r="AM89" s="5"/>
    </row>
    <row r="90" spans="1:39">
      <c r="A90" s="43"/>
      <c r="B90" s="44"/>
      <c r="C90" s="17"/>
      <c r="D90" s="17"/>
      <c r="E90" s="41"/>
      <c r="F90" s="42"/>
      <c r="G90" s="42"/>
      <c r="H90" s="17"/>
      <c r="I90" s="17"/>
      <c r="J90" s="41"/>
      <c r="K90" s="42"/>
      <c r="L90" s="42"/>
      <c r="M90" s="42"/>
      <c r="N90" s="42"/>
      <c r="Z90" s="4"/>
      <c r="AA90" s="5"/>
      <c r="AB90" s="5"/>
      <c r="AC90" s="5"/>
      <c r="AD90" s="5"/>
      <c r="AE90" s="5"/>
      <c r="AF90" s="5"/>
      <c r="AG90" s="5"/>
      <c r="AH90" s="5"/>
      <c r="AI90" s="5"/>
      <c r="AJ90" s="5"/>
      <c r="AL90" s="4"/>
      <c r="AM90" s="5"/>
    </row>
    <row r="91" spans="1:39">
      <c r="A91" s="43"/>
      <c r="B91" s="44"/>
      <c r="C91" s="17"/>
      <c r="D91" s="17"/>
      <c r="E91" s="41"/>
      <c r="F91" s="47"/>
      <c r="G91" s="47"/>
      <c r="H91" s="17"/>
      <c r="I91" s="17"/>
      <c r="J91" s="41"/>
      <c r="K91" s="42"/>
      <c r="L91" s="42"/>
      <c r="M91" s="42"/>
      <c r="N91" s="42"/>
      <c r="Z91" s="4"/>
      <c r="AA91" s="5"/>
      <c r="AB91" s="5"/>
      <c r="AC91" s="5"/>
      <c r="AD91" s="5"/>
      <c r="AE91" s="5"/>
      <c r="AF91" s="5"/>
      <c r="AG91" s="5"/>
      <c r="AH91" s="5"/>
      <c r="AI91" s="5"/>
      <c r="AJ91" s="5"/>
      <c r="AL91" s="4"/>
      <c r="AM91" s="5"/>
    </row>
    <row r="92" spans="1:39">
      <c r="A92" s="43"/>
      <c r="B92" s="44"/>
      <c r="C92" s="17"/>
      <c r="D92" s="17"/>
      <c r="E92" s="41"/>
      <c r="F92" s="47"/>
      <c r="G92" s="47"/>
      <c r="H92" s="17"/>
      <c r="I92" s="17"/>
      <c r="J92" s="41"/>
      <c r="K92" s="42"/>
      <c r="L92" s="42"/>
      <c r="M92" s="42"/>
      <c r="N92" s="42"/>
      <c r="Z92" s="4"/>
      <c r="AA92" s="5"/>
      <c r="AB92" s="5"/>
      <c r="AC92" s="5"/>
      <c r="AD92" s="5"/>
      <c r="AE92" s="5"/>
      <c r="AF92" s="5"/>
      <c r="AG92" s="5"/>
      <c r="AH92" s="5"/>
      <c r="AI92" s="5"/>
      <c r="AJ92" s="5"/>
      <c r="AL92" s="4"/>
      <c r="AM92" s="5"/>
    </row>
    <row r="93" spans="1:39">
      <c r="A93" s="43"/>
      <c r="B93" s="44"/>
      <c r="C93" s="17"/>
      <c r="D93" s="17"/>
      <c r="E93" s="41"/>
      <c r="F93" s="47"/>
      <c r="G93" s="47"/>
      <c r="H93" s="17"/>
      <c r="I93" s="17"/>
      <c r="J93" s="41"/>
      <c r="K93" s="41"/>
      <c r="L93" s="42"/>
      <c r="M93" s="42"/>
      <c r="N93" s="42"/>
      <c r="Z93" s="4"/>
      <c r="AA93" s="5"/>
      <c r="AB93" s="5"/>
      <c r="AC93" s="5"/>
      <c r="AD93" s="5"/>
      <c r="AE93" s="5"/>
      <c r="AF93" s="5"/>
      <c r="AG93" s="5"/>
      <c r="AH93" s="5"/>
      <c r="AI93" s="5"/>
      <c r="AJ93" s="5"/>
      <c r="AL93" s="4"/>
      <c r="AM93" s="5"/>
    </row>
    <row r="94" spans="1:39">
      <c r="A94" s="43"/>
      <c r="B94" s="44"/>
      <c r="C94" s="17"/>
      <c r="D94" s="17"/>
      <c r="E94" s="41"/>
      <c r="F94" s="47"/>
      <c r="G94" s="47"/>
      <c r="H94" s="17"/>
      <c r="I94" s="17"/>
      <c r="J94" s="41"/>
      <c r="K94" s="41"/>
      <c r="L94" s="42"/>
      <c r="M94" s="42"/>
      <c r="N94" s="42"/>
      <c r="Z94" s="4"/>
      <c r="AA94" s="5"/>
      <c r="AB94" s="5"/>
      <c r="AC94" s="5"/>
      <c r="AD94" s="5"/>
      <c r="AE94" s="5"/>
      <c r="AF94" s="5"/>
      <c r="AG94" s="5"/>
      <c r="AH94" s="5"/>
      <c r="AI94" s="5"/>
      <c r="AJ94" s="5"/>
      <c r="AL94" s="4"/>
      <c r="AM94" s="5"/>
    </row>
    <row r="95" spans="1:39">
      <c r="A95" s="43"/>
      <c r="B95" s="44"/>
      <c r="C95" s="17"/>
      <c r="D95" s="17"/>
      <c r="E95" s="41"/>
      <c r="F95" s="47"/>
      <c r="G95" s="47"/>
      <c r="H95" s="17"/>
      <c r="I95" s="17"/>
      <c r="J95" s="41"/>
      <c r="K95" s="41"/>
      <c r="L95" s="42"/>
      <c r="M95" s="42"/>
      <c r="N95" s="42"/>
      <c r="Z95" s="4"/>
      <c r="AA95" s="5"/>
      <c r="AB95" s="5"/>
      <c r="AC95" s="5"/>
      <c r="AD95" s="5"/>
      <c r="AE95" s="5"/>
      <c r="AF95" s="5"/>
      <c r="AG95" s="5"/>
      <c r="AH95" s="5"/>
      <c r="AI95" s="5"/>
      <c r="AJ95" s="5"/>
      <c r="AL95" s="4"/>
      <c r="AM95" s="5"/>
    </row>
    <row r="96" spans="1:39">
      <c r="A96" s="43"/>
      <c r="B96" s="44"/>
      <c r="C96" s="17"/>
      <c r="D96" s="17"/>
      <c r="E96" s="41"/>
      <c r="F96" s="47"/>
      <c r="G96" s="47"/>
      <c r="H96" s="17"/>
      <c r="I96" s="17"/>
      <c r="J96" s="41"/>
      <c r="K96" s="41"/>
      <c r="L96" s="42"/>
      <c r="M96" s="42"/>
      <c r="N96" s="42"/>
      <c r="Z96" s="4"/>
      <c r="AA96" s="5"/>
      <c r="AB96" s="5"/>
      <c r="AC96" s="5"/>
      <c r="AD96" s="5"/>
      <c r="AE96" s="5"/>
      <c r="AF96" s="5"/>
      <c r="AG96" s="5"/>
      <c r="AH96" s="5"/>
      <c r="AI96" s="5"/>
      <c r="AJ96" s="5"/>
      <c r="AL96" s="4"/>
      <c r="AM96" s="5"/>
    </row>
    <row r="97" spans="1:14">
      <c r="A97" s="43"/>
      <c r="B97" s="44"/>
      <c r="C97" s="17"/>
      <c r="D97" s="17"/>
      <c r="E97" s="41"/>
      <c r="F97" s="47"/>
      <c r="G97" s="47"/>
      <c r="H97" s="17"/>
      <c r="I97" s="17"/>
      <c r="J97" s="41"/>
      <c r="K97" s="41"/>
      <c r="L97" s="42"/>
      <c r="M97" s="42"/>
      <c r="N97" s="42"/>
    </row>
    <row r="98" spans="1:14">
      <c r="A98" s="43"/>
      <c r="B98" s="44"/>
      <c r="C98" s="17"/>
      <c r="D98" s="17"/>
      <c r="E98" s="41"/>
      <c r="F98" s="47"/>
      <c r="G98" s="47"/>
      <c r="H98" s="17"/>
      <c r="I98" s="17"/>
      <c r="J98" s="41"/>
      <c r="K98" s="41"/>
      <c r="L98" s="42"/>
      <c r="M98" s="42"/>
      <c r="N98" s="42"/>
    </row>
    <row r="99" spans="1:14">
      <c r="A99" s="43"/>
      <c r="B99" s="44"/>
      <c r="C99" s="17"/>
      <c r="D99" s="17"/>
      <c r="E99" s="41"/>
      <c r="F99" s="47"/>
      <c r="G99" s="47"/>
      <c r="H99" s="17"/>
      <c r="I99" s="17"/>
      <c r="J99" s="41"/>
      <c r="K99" s="41"/>
      <c r="L99" s="42"/>
      <c r="M99" s="42"/>
      <c r="N99" s="42"/>
    </row>
    <row r="100" spans="1:14">
      <c r="A100" s="43"/>
      <c r="B100" s="44"/>
      <c r="C100" s="17"/>
      <c r="D100" s="17"/>
      <c r="E100" s="41"/>
      <c r="F100" s="47"/>
      <c r="G100" s="47"/>
      <c r="H100" s="17"/>
      <c r="I100" s="17"/>
      <c r="J100" s="41"/>
      <c r="K100" s="41"/>
      <c r="L100" s="42"/>
      <c r="M100" s="42"/>
      <c r="N100" s="42"/>
    </row>
    <row r="101" spans="1:14">
      <c r="A101" s="43"/>
      <c r="B101" s="44"/>
      <c r="C101" s="17"/>
      <c r="D101" s="17"/>
      <c r="E101" s="41"/>
      <c r="F101" s="47"/>
      <c r="G101" s="47"/>
      <c r="H101" s="17"/>
      <c r="I101" s="17"/>
      <c r="J101" s="41"/>
      <c r="K101" s="41"/>
      <c r="L101" s="42"/>
      <c r="M101" s="42"/>
      <c r="N101" s="42"/>
    </row>
    <row r="102" spans="1:14">
      <c r="A102" s="43"/>
      <c r="B102" s="44"/>
      <c r="C102" s="17"/>
      <c r="D102" s="17"/>
      <c r="E102" s="41"/>
      <c r="F102" s="47"/>
      <c r="G102" s="47"/>
      <c r="H102" s="17"/>
      <c r="I102" s="17"/>
      <c r="J102" s="41"/>
      <c r="K102" s="41"/>
      <c r="L102" s="42"/>
      <c r="M102" s="42"/>
      <c r="N102" s="42"/>
    </row>
    <row r="103" spans="1:14">
      <c r="A103" s="43"/>
      <c r="B103" s="44"/>
      <c r="C103" s="17"/>
      <c r="D103" s="17"/>
      <c r="E103" s="41"/>
      <c r="F103" s="47"/>
      <c r="G103" s="47"/>
      <c r="H103" s="17"/>
      <c r="I103" s="17"/>
      <c r="J103" s="41"/>
      <c r="K103" s="41"/>
      <c r="L103" s="42"/>
      <c r="M103" s="42"/>
      <c r="N103" s="42"/>
    </row>
    <row r="104" spans="1:14">
      <c r="A104" s="43"/>
      <c r="B104" s="44"/>
      <c r="C104" s="17"/>
      <c r="D104" s="17"/>
      <c r="E104" s="41"/>
      <c r="F104" s="47"/>
      <c r="G104" s="47"/>
      <c r="H104" s="17"/>
      <c r="I104" s="17"/>
      <c r="J104" s="41"/>
      <c r="K104" s="41"/>
      <c r="L104" s="42"/>
      <c r="M104" s="42"/>
      <c r="N104" s="42"/>
    </row>
    <row r="105" spans="1:14">
      <c r="A105" s="43"/>
      <c r="B105" s="44"/>
      <c r="C105" s="17"/>
      <c r="D105" s="17"/>
      <c r="E105" s="41"/>
      <c r="F105" s="47"/>
      <c r="G105" s="47"/>
      <c r="H105" s="17"/>
      <c r="I105" s="17"/>
      <c r="J105" s="41"/>
      <c r="K105" s="41"/>
      <c r="L105" s="42"/>
      <c r="M105" s="42"/>
      <c r="N105" s="42"/>
    </row>
    <row r="106" spans="1:14">
      <c r="A106" s="43"/>
      <c r="B106" s="44"/>
      <c r="C106" s="17"/>
      <c r="D106" s="17"/>
      <c r="E106" s="41"/>
      <c r="F106" s="47"/>
      <c r="G106" s="47"/>
      <c r="H106" s="17"/>
      <c r="I106" s="17"/>
      <c r="J106" s="41"/>
      <c r="K106" s="41"/>
      <c r="L106" s="42"/>
      <c r="M106" s="42"/>
      <c r="N106" s="42"/>
    </row>
    <row r="107" spans="1:14">
      <c r="A107" s="43"/>
      <c r="B107" s="44"/>
      <c r="C107" s="17"/>
      <c r="D107" s="17"/>
      <c r="E107" s="41"/>
      <c r="F107" s="47"/>
      <c r="G107" s="47"/>
      <c r="H107" s="17"/>
      <c r="I107" s="17"/>
      <c r="J107" s="41"/>
      <c r="K107" s="41"/>
      <c r="L107" s="42"/>
      <c r="M107" s="42"/>
      <c r="N107" s="42"/>
    </row>
    <row r="108" spans="1:14">
      <c r="A108" s="43"/>
      <c r="B108" s="44"/>
      <c r="C108" s="17"/>
      <c r="D108" s="17"/>
      <c r="E108" s="41"/>
      <c r="F108" s="47"/>
      <c r="G108" s="47"/>
      <c r="H108" s="17"/>
      <c r="I108" s="17"/>
      <c r="J108" s="41"/>
      <c r="K108" s="42"/>
      <c r="L108" s="42"/>
      <c r="M108" s="42"/>
      <c r="N108" s="42"/>
    </row>
    <row r="109" spans="1:14">
      <c r="A109" s="43"/>
      <c r="B109" s="44"/>
      <c r="C109" s="17"/>
      <c r="D109" s="17"/>
      <c r="E109" s="41"/>
      <c r="F109" s="47"/>
      <c r="G109" s="47"/>
      <c r="H109" s="17"/>
      <c r="I109" s="17"/>
      <c r="J109" s="41"/>
      <c r="K109" s="42"/>
      <c r="L109" s="42"/>
      <c r="M109" s="42"/>
      <c r="N109" s="42"/>
    </row>
    <row r="110" spans="1:14">
      <c r="A110" s="43"/>
      <c r="B110" s="44"/>
      <c r="C110" s="17"/>
      <c r="D110" s="17"/>
      <c r="E110" s="41"/>
      <c r="F110" s="47"/>
      <c r="G110" s="47"/>
      <c r="H110" s="17"/>
      <c r="I110" s="17"/>
      <c r="J110" s="41"/>
      <c r="K110" s="42"/>
      <c r="L110" s="42"/>
      <c r="M110" s="42"/>
      <c r="N110" s="42"/>
    </row>
    <row r="111" spans="1:14">
      <c r="A111" s="43"/>
      <c r="B111" s="44"/>
      <c r="C111" s="17"/>
      <c r="D111" s="17"/>
      <c r="E111" s="41"/>
      <c r="F111" s="47"/>
      <c r="G111" s="47"/>
      <c r="H111" s="17"/>
      <c r="I111" s="17"/>
      <c r="J111" s="41"/>
      <c r="K111" s="41"/>
      <c r="L111" s="42"/>
      <c r="M111" s="42"/>
      <c r="N111" s="42"/>
    </row>
    <row r="112" spans="1:14">
      <c r="A112" s="43"/>
      <c r="B112" s="44"/>
      <c r="C112" s="17"/>
      <c r="D112" s="17"/>
      <c r="E112" s="41"/>
      <c r="F112" s="47"/>
      <c r="G112" s="47"/>
      <c r="H112" s="17"/>
      <c r="I112" s="17"/>
      <c r="J112" s="41"/>
      <c r="K112" s="41"/>
      <c r="L112" s="42"/>
      <c r="M112" s="42"/>
      <c r="N112" s="42"/>
    </row>
    <row r="113" spans="1:14">
      <c r="A113" s="43"/>
      <c r="B113" s="44"/>
      <c r="C113" s="17"/>
      <c r="D113" s="17"/>
      <c r="E113" s="41"/>
      <c r="F113" s="47"/>
      <c r="G113" s="47"/>
      <c r="H113" s="17"/>
      <c r="I113" s="17"/>
      <c r="J113" s="41"/>
      <c r="K113" s="41"/>
      <c r="L113" s="42"/>
      <c r="M113" s="42"/>
      <c r="N113" s="42"/>
    </row>
    <row r="114" spans="1:14">
      <c r="A114" s="43"/>
      <c r="B114" s="44"/>
      <c r="C114" s="17"/>
      <c r="D114" s="17"/>
      <c r="E114" s="41"/>
      <c r="F114" s="47"/>
      <c r="G114" s="47"/>
      <c r="H114" s="17"/>
      <c r="I114" s="17"/>
      <c r="J114" s="41"/>
      <c r="K114" s="41"/>
      <c r="L114" s="42"/>
      <c r="M114" s="42"/>
    </row>
    <row r="115" spans="1:14">
      <c r="A115" s="43"/>
      <c r="B115" s="44"/>
      <c r="C115" s="17"/>
      <c r="D115" s="17"/>
      <c r="E115" s="41"/>
      <c r="F115" s="47"/>
      <c r="G115" s="47"/>
      <c r="H115" s="17"/>
      <c r="I115" s="17"/>
      <c r="J115" s="41"/>
      <c r="K115" s="41"/>
      <c r="L115" s="42"/>
      <c r="M115" s="42"/>
    </row>
    <row r="116" spans="1:14">
      <c r="A116" s="43"/>
      <c r="B116" s="44"/>
      <c r="C116" s="17"/>
      <c r="D116" s="17"/>
      <c r="E116" s="41"/>
      <c r="F116" s="47"/>
      <c r="G116" s="47"/>
      <c r="H116" s="17"/>
      <c r="I116" s="17"/>
      <c r="J116" s="41"/>
      <c r="K116" s="42"/>
      <c r="L116" s="42"/>
      <c r="M116" s="42"/>
    </row>
    <row r="117" spans="1:14">
      <c r="A117" s="43"/>
      <c r="B117" s="44"/>
      <c r="C117" s="17"/>
      <c r="D117" s="17"/>
      <c r="E117" s="41"/>
      <c r="F117" s="47"/>
      <c r="G117" s="47"/>
      <c r="H117" s="17"/>
      <c r="I117" s="17"/>
      <c r="J117" s="41"/>
      <c r="K117" s="41"/>
      <c r="L117" s="42"/>
      <c r="M117" s="42"/>
    </row>
    <row r="118" spans="1:14">
      <c r="A118" s="43"/>
      <c r="B118" s="44"/>
      <c r="C118" s="17"/>
      <c r="D118" s="17"/>
      <c r="E118" s="41"/>
      <c r="F118" s="47"/>
      <c r="G118" s="47"/>
      <c r="H118" s="17"/>
      <c r="I118" s="17"/>
      <c r="J118" s="41"/>
      <c r="K118" s="42"/>
      <c r="L118" s="42"/>
      <c r="M118" s="42"/>
    </row>
    <row r="119" spans="1:14">
      <c r="A119" s="43"/>
      <c r="B119" s="44"/>
      <c r="C119" s="17"/>
      <c r="D119" s="17"/>
      <c r="E119" s="41"/>
      <c r="F119" s="47"/>
      <c r="G119" s="47"/>
      <c r="H119" s="17"/>
      <c r="I119" s="17"/>
      <c r="J119" s="41"/>
      <c r="K119" s="42"/>
      <c r="L119" s="42"/>
      <c r="M119" s="42"/>
    </row>
    <row r="120" spans="1:14">
      <c r="A120" s="43"/>
      <c r="B120" s="44"/>
      <c r="C120" s="17"/>
      <c r="D120" s="17"/>
      <c r="E120" s="41"/>
      <c r="F120" s="47"/>
      <c r="G120" s="47"/>
      <c r="H120" s="17"/>
      <c r="I120" s="17"/>
      <c r="J120" s="41"/>
      <c r="K120" s="41"/>
      <c r="L120" s="42"/>
      <c r="M120" s="42"/>
    </row>
    <row r="121" spans="1:14">
      <c r="A121" s="43"/>
      <c r="B121" s="44"/>
      <c r="C121" s="17"/>
      <c r="D121" s="17"/>
      <c r="E121" s="41"/>
      <c r="F121" s="47"/>
      <c r="G121" s="47"/>
      <c r="H121" s="17"/>
      <c r="I121" s="17"/>
      <c r="J121" s="41"/>
      <c r="K121" s="41"/>
      <c r="L121" s="42"/>
      <c r="M121" s="42"/>
    </row>
    <row r="122" spans="1:14">
      <c r="A122" s="43"/>
      <c r="B122" s="44"/>
      <c r="C122" s="17"/>
      <c r="D122" s="17"/>
      <c r="E122" s="41"/>
      <c r="F122" s="47"/>
      <c r="G122" s="47"/>
      <c r="H122" s="17"/>
      <c r="I122" s="17"/>
      <c r="J122" s="41"/>
      <c r="K122" s="41"/>
      <c r="L122" s="42"/>
      <c r="M122" s="42"/>
    </row>
    <row r="123" spans="1:14">
      <c r="A123" s="43"/>
      <c r="B123" s="44"/>
      <c r="C123" s="17"/>
      <c r="D123" s="17"/>
      <c r="E123" s="41"/>
      <c r="F123" s="47"/>
      <c r="G123" s="47"/>
      <c r="H123" s="17"/>
      <c r="I123" s="17"/>
      <c r="J123" s="17"/>
      <c r="K123" s="17"/>
      <c r="L123" s="17"/>
      <c r="M123" s="17"/>
    </row>
    <row r="124" spans="1:14">
      <c r="A124" s="43"/>
      <c r="B124" s="44"/>
      <c r="C124" s="17"/>
      <c r="D124" s="17"/>
      <c r="E124" s="41"/>
      <c r="F124" s="47"/>
      <c r="G124" s="47"/>
      <c r="H124" s="17"/>
      <c r="I124" s="17"/>
      <c r="J124" s="17"/>
      <c r="K124" s="17"/>
      <c r="L124" s="17"/>
      <c r="M124" s="17"/>
    </row>
    <row r="125" spans="1:14">
      <c r="A125" s="43"/>
      <c r="B125" s="44"/>
      <c r="C125" s="17"/>
      <c r="D125" s="17"/>
      <c r="E125" s="41"/>
      <c r="F125" s="47"/>
      <c r="G125" s="47"/>
      <c r="H125" s="17"/>
      <c r="I125" s="17"/>
      <c r="J125" s="17"/>
      <c r="K125" s="17"/>
      <c r="L125" s="17"/>
      <c r="M125" s="17"/>
    </row>
    <row r="126" spans="1:14">
      <c r="A126" s="45"/>
      <c r="B126" s="46"/>
      <c r="C126" s="17"/>
      <c r="D126" s="17"/>
      <c r="E126" s="41"/>
      <c r="F126" s="47"/>
      <c r="G126" s="47"/>
      <c r="H126" s="17"/>
      <c r="I126" s="17"/>
      <c r="J126" s="17"/>
      <c r="K126" s="17"/>
      <c r="L126" s="17"/>
      <c r="M126" s="17"/>
    </row>
    <row r="127" spans="1:14">
      <c r="A127" s="43"/>
      <c r="B127" s="44"/>
      <c r="C127" s="17"/>
      <c r="D127" s="17"/>
      <c r="E127" s="41"/>
      <c r="F127" s="47"/>
      <c r="G127" s="47"/>
      <c r="H127" s="17"/>
      <c r="I127" s="17"/>
      <c r="J127" s="17"/>
      <c r="K127" s="17"/>
      <c r="L127" s="17"/>
      <c r="M127" s="17"/>
    </row>
    <row r="128" spans="1:14">
      <c r="A128" s="43"/>
      <c r="B128" s="44"/>
      <c r="C128" s="17"/>
      <c r="D128" s="17"/>
      <c r="E128" s="41"/>
      <c r="F128" s="47"/>
      <c r="G128" s="47"/>
      <c r="H128" s="17"/>
      <c r="I128" s="17"/>
      <c r="J128" s="17"/>
      <c r="K128" s="17"/>
      <c r="L128" s="17"/>
      <c r="M128" s="17"/>
    </row>
    <row r="129" spans="1:13">
      <c r="A129" s="43"/>
      <c r="B129" s="44"/>
      <c r="C129" s="17"/>
      <c r="D129" s="17"/>
      <c r="E129" s="41"/>
      <c r="F129" s="47"/>
      <c r="G129" s="47"/>
      <c r="H129" s="17"/>
      <c r="I129" s="17"/>
      <c r="J129" s="17"/>
      <c r="K129" s="17"/>
      <c r="L129" s="17"/>
      <c r="M129" s="17"/>
    </row>
    <row r="130" spans="1:13">
      <c r="A130" s="43"/>
      <c r="B130" s="44"/>
      <c r="C130" s="17"/>
      <c r="D130" s="17"/>
      <c r="E130" s="41"/>
      <c r="F130" s="47"/>
      <c r="G130" s="47"/>
      <c r="H130" s="17"/>
      <c r="I130" s="17"/>
      <c r="J130" s="17"/>
      <c r="K130" s="17"/>
      <c r="L130" s="17"/>
      <c r="M130" s="17"/>
    </row>
    <row r="131" spans="1:13">
      <c r="A131" s="43"/>
      <c r="B131" s="44"/>
      <c r="C131" s="17"/>
      <c r="D131" s="17"/>
      <c r="E131" s="41"/>
      <c r="F131" s="47"/>
      <c r="G131" s="47"/>
      <c r="H131" s="17"/>
      <c r="I131" s="17"/>
      <c r="J131" s="17"/>
      <c r="K131" s="17"/>
      <c r="L131" s="17"/>
      <c r="M131" s="17"/>
    </row>
    <row r="132" spans="1:13">
      <c r="A132" s="43"/>
      <c r="B132" s="44"/>
      <c r="C132" s="17"/>
      <c r="D132" s="17"/>
      <c r="E132" s="41"/>
      <c r="F132" s="47"/>
      <c r="G132" s="47"/>
      <c r="H132" s="17"/>
      <c r="I132" s="17"/>
      <c r="J132" s="17"/>
      <c r="K132" s="17"/>
      <c r="L132" s="17"/>
      <c r="M132" s="17"/>
    </row>
    <row r="133" spans="1:13">
      <c r="A133" s="43"/>
      <c r="B133" s="44"/>
      <c r="C133" s="17"/>
      <c r="D133" s="17"/>
      <c r="E133" s="41"/>
      <c r="F133" s="47"/>
      <c r="G133" s="47"/>
      <c r="H133" s="17"/>
      <c r="I133" s="17"/>
      <c r="J133" s="17"/>
      <c r="K133" s="17"/>
      <c r="L133" s="17"/>
      <c r="M133" s="17"/>
    </row>
    <row r="134" spans="1:13">
      <c r="A134" s="43"/>
      <c r="B134" s="44"/>
      <c r="C134" s="17"/>
      <c r="D134" s="17"/>
      <c r="E134" s="41"/>
      <c r="F134" s="47"/>
      <c r="G134" s="47"/>
      <c r="H134" s="17"/>
      <c r="I134" s="17"/>
      <c r="J134" s="17"/>
      <c r="K134" s="17"/>
      <c r="L134" s="17"/>
      <c r="M134" s="17"/>
    </row>
    <row r="135" spans="1:13">
      <c r="A135" s="45"/>
      <c r="B135" s="46"/>
      <c r="C135" s="17"/>
      <c r="D135" s="17"/>
      <c r="E135" s="41"/>
      <c r="F135" s="47"/>
      <c r="G135" s="47"/>
      <c r="H135" s="17"/>
      <c r="I135" s="17"/>
      <c r="J135" s="17"/>
      <c r="K135" s="17"/>
      <c r="L135" s="17"/>
      <c r="M135" s="17"/>
    </row>
    <row r="136" spans="1:13">
      <c r="A136" s="43"/>
      <c r="B136" s="44"/>
      <c r="C136" s="17"/>
      <c r="D136" s="17"/>
      <c r="E136" s="41"/>
      <c r="F136" s="47"/>
      <c r="G136" s="47"/>
      <c r="H136" s="17"/>
      <c r="I136" s="17"/>
      <c r="J136" s="17"/>
      <c r="K136" s="17"/>
      <c r="L136" s="17"/>
      <c r="M136" s="17"/>
    </row>
    <row r="137" spans="1:13">
      <c r="A137" s="43"/>
      <c r="B137" s="44"/>
      <c r="C137" s="17"/>
      <c r="D137" s="17"/>
      <c r="E137" s="41"/>
      <c r="F137" s="47"/>
      <c r="G137" s="47"/>
      <c r="H137" s="17"/>
      <c r="I137" s="17"/>
      <c r="J137" s="17"/>
      <c r="K137" s="17"/>
      <c r="L137" s="17"/>
      <c r="M137" s="17"/>
    </row>
    <row r="138" spans="1:13">
      <c r="A138" s="43"/>
      <c r="B138" s="44"/>
      <c r="C138" s="17"/>
      <c r="D138" s="17"/>
      <c r="E138" s="41"/>
      <c r="F138" s="47"/>
      <c r="G138" s="47"/>
      <c r="H138" s="17"/>
      <c r="I138" s="17"/>
      <c r="J138" s="17"/>
      <c r="K138" s="17"/>
      <c r="L138" s="17"/>
      <c r="M138" s="17"/>
    </row>
    <row r="139" spans="1:13">
      <c r="A139" s="43"/>
      <c r="B139" s="44"/>
      <c r="C139" s="17"/>
      <c r="D139" s="17"/>
      <c r="E139" s="41"/>
      <c r="F139" s="47"/>
      <c r="G139" s="47"/>
      <c r="H139" s="17"/>
      <c r="I139" s="17"/>
      <c r="J139" s="17"/>
      <c r="K139" s="17"/>
      <c r="L139" s="17"/>
      <c r="M139" s="17"/>
    </row>
    <row r="140" spans="1:13">
      <c r="A140" s="45"/>
      <c r="B140" s="46"/>
      <c r="C140" s="17"/>
      <c r="D140" s="17"/>
      <c r="E140" s="41"/>
      <c r="F140" s="47"/>
      <c r="G140" s="47"/>
      <c r="H140" s="17"/>
      <c r="I140" s="17"/>
      <c r="J140" s="17"/>
      <c r="K140" s="17"/>
      <c r="L140" s="17"/>
      <c r="M140" s="17"/>
    </row>
    <row r="141" spans="1:13">
      <c r="A141" s="43"/>
      <c r="B141" s="44"/>
      <c r="C141" s="17"/>
      <c r="D141" s="17"/>
      <c r="E141" s="41"/>
      <c r="F141" s="47"/>
      <c r="G141" s="47"/>
      <c r="H141" s="17"/>
      <c r="I141" s="17"/>
      <c r="J141" s="17"/>
      <c r="K141" s="17"/>
      <c r="L141" s="17"/>
      <c r="M141" s="17"/>
    </row>
    <row r="142" spans="1:13">
      <c r="A142" s="43"/>
      <c r="B142" s="44"/>
      <c r="C142" s="17"/>
      <c r="D142" s="17"/>
      <c r="E142" s="41"/>
      <c r="F142" s="47"/>
      <c r="G142" s="47"/>
      <c r="H142" s="17"/>
      <c r="I142" s="17"/>
      <c r="J142" s="17"/>
      <c r="K142" s="17"/>
      <c r="L142" s="17"/>
      <c r="M142" s="17"/>
    </row>
    <row r="143" spans="1:13">
      <c r="A143" s="43"/>
      <c r="B143" s="44"/>
      <c r="C143" s="17"/>
      <c r="D143" s="17"/>
      <c r="E143" s="41"/>
      <c r="F143" s="47"/>
      <c r="G143" s="47"/>
      <c r="H143" s="17"/>
      <c r="I143" s="17"/>
      <c r="J143" s="17"/>
      <c r="K143" s="17"/>
      <c r="L143" s="17"/>
      <c r="M143" s="17"/>
    </row>
    <row r="144" spans="1:13">
      <c r="A144" s="43"/>
      <c r="B144" s="44"/>
      <c r="C144" s="17"/>
      <c r="D144" s="17"/>
      <c r="E144" s="41"/>
      <c r="F144" s="47"/>
      <c r="G144" s="47"/>
      <c r="H144" s="17"/>
      <c r="I144" s="17"/>
      <c r="J144" s="17"/>
      <c r="K144" s="17"/>
      <c r="L144" s="17"/>
      <c r="M144" s="17"/>
    </row>
    <row r="145" spans="1:13">
      <c r="A145" s="43"/>
      <c r="B145" s="44"/>
      <c r="C145" s="17"/>
      <c r="D145" s="17"/>
      <c r="E145" s="41"/>
      <c r="F145" s="42"/>
      <c r="G145" s="42"/>
      <c r="H145" s="17"/>
      <c r="I145" s="17"/>
      <c r="J145" s="17"/>
      <c r="K145" s="17"/>
      <c r="L145" s="17"/>
      <c r="M145" s="17"/>
    </row>
    <row r="146" spans="1:13">
      <c r="A146" s="43"/>
      <c r="B146" s="44"/>
      <c r="C146" s="17"/>
      <c r="D146" s="17"/>
      <c r="E146" s="41"/>
      <c r="F146" s="42"/>
      <c r="G146" s="42"/>
      <c r="H146" s="17"/>
      <c r="I146" s="17"/>
      <c r="J146" s="17"/>
      <c r="K146" s="17"/>
      <c r="L146" s="17"/>
      <c r="M146" s="17"/>
    </row>
    <row r="147" spans="1:13">
      <c r="A147" s="43"/>
      <c r="B147" s="44"/>
      <c r="C147" s="17"/>
      <c r="D147" s="17"/>
      <c r="E147" s="41"/>
      <c r="F147" s="42"/>
      <c r="G147" s="42"/>
      <c r="H147" s="17"/>
      <c r="I147" s="17"/>
      <c r="J147" s="17"/>
      <c r="K147" s="17"/>
      <c r="L147" s="17"/>
      <c r="M147" s="17"/>
    </row>
    <row r="148" spans="1:13">
      <c r="A148" s="43"/>
      <c r="B148" s="44"/>
      <c r="C148" s="17"/>
      <c r="D148" s="17"/>
      <c r="E148" s="41"/>
      <c r="F148" s="42"/>
      <c r="G148" s="42"/>
      <c r="H148" s="17"/>
      <c r="I148" s="17"/>
      <c r="J148" s="17"/>
      <c r="K148" s="17"/>
      <c r="L148" s="17"/>
      <c r="M148" s="17"/>
    </row>
    <row r="149" spans="1:13">
      <c r="A149" s="43"/>
      <c r="B149" s="44"/>
      <c r="C149" s="17"/>
      <c r="D149" s="17"/>
      <c r="E149" s="41"/>
      <c r="F149" s="42"/>
      <c r="G149" s="42"/>
      <c r="H149" s="17"/>
      <c r="I149" s="17"/>
      <c r="J149" s="17"/>
      <c r="K149" s="17"/>
      <c r="L149" s="17"/>
      <c r="M149" s="17"/>
    </row>
    <row r="150" spans="1:13">
      <c r="A150" s="43"/>
      <c r="B150" s="44"/>
      <c r="C150" s="17"/>
      <c r="D150" s="17"/>
      <c r="E150" s="41"/>
      <c r="F150" s="47"/>
      <c r="G150" s="47"/>
      <c r="H150" s="17"/>
      <c r="I150" s="17"/>
      <c r="J150" s="17"/>
      <c r="K150" s="17"/>
      <c r="L150" s="17"/>
      <c r="M150" s="17"/>
    </row>
    <row r="151" spans="1:13">
      <c r="A151" s="43"/>
      <c r="B151" s="44"/>
      <c r="C151" s="17"/>
      <c r="D151" s="17"/>
      <c r="E151" s="41"/>
      <c r="F151" s="47"/>
      <c r="G151" s="47"/>
      <c r="H151" s="17"/>
      <c r="I151" s="17"/>
      <c r="J151" s="17"/>
      <c r="K151" s="17"/>
      <c r="L151" s="17"/>
      <c r="M151" s="17"/>
    </row>
    <row r="152" spans="1:13">
      <c r="A152" s="43"/>
      <c r="B152" s="44"/>
      <c r="C152" s="17"/>
      <c r="D152" s="17"/>
      <c r="E152" s="41"/>
      <c r="F152" s="47"/>
      <c r="G152" s="47"/>
      <c r="H152" s="17"/>
      <c r="I152" s="17"/>
      <c r="J152" s="17"/>
      <c r="K152" s="17"/>
      <c r="L152" s="17"/>
      <c r="M152" s="17"/>
    </row>
    <row r="153" spans="1:13">
      <c r="A153" s="43"/>
      <c r="B153" s="44"/>
      <c r="C153" s="17"/>
      <c r="D153" s="17"/>
      <c r="E153" s="41"/>
      <c r="F153" s="47"/>
      <c r="G153" s="47"/>
      <c r="H153" s="17"/>
      <c r="I153" s="17"/>
      <c r="J153" s="17"/>
      <c r="K153" s="17"/>
      <c r="L153" s="17"/>
      <c r="M153" s="17"/>
    </row>
    <row r="154" spans="1:13">
      <c r="A154" s="43"/>
      <c r="B154" s="44"/>
      <c r="C154" s="17"/>
      <c r="D154" s="17"/>
      <c r="E154" s="41"/>
      <c r="F154" s="47"/>
      <c r="G154" s="47"/>
      <c r="H154" s="17"/>
      <c r="I154" s="17"/>
      <c r="J154" s="17"/>
      <c r="K154" s="17"/>
      <c r="L154" s="17"/>
      <c r="M154" s="17"/>
    </row>
    <row r="155" spans="1:13">
      <c r="A155" s="43"/>
      <c r="B155" s="44"/>
      <c r="C155" s="17"/>
      <c r="D155" s="17"/>
      <c r="E155" s="41"/>
      <c r="F155" s="47"/>
      <c r="G155" s="47"/>
      <c r="H155" s="17"/>
      <c r="I155" s="17"/>
      <c r="J155" s="17"/>
      <c r="K155" s="17"/>
      <c r="L155" s="17"/>
      <c r="M155" s="17"/>
    </row>
    <row r="156" spans="1:13">
      <c r="A156" s="43"/>
      <c r="B156" s="44"/>
      <c r="C156" s="17"/>
      <c r="D156" s="17"/>
      <c r="E156" s="41"/>
      <c r="F156" s="47"/>
      <c r="G156" s="47"/>
      <c r="H156" s="17"/>
      <c r="I156" s="17"/>
      <c r="J156" s="17"/>
      <c r="K156" s="17"/>
      <c r="L156" s="17"/>
      <c r="M156" s="17"/>
    </row>
    <row r="157" spans="1:13">
      <c r="A157" s="43"/>
      <c r="B157" s="44"/>
      <c r="C157" s="17"/>
      <c r="D157" s="17"/>
      <c r="E157" s="41"/>
      <c r="F157" s="47"/>
      <c r="G157" s="47"/>
      <c r="H157" s="17"/>
      <c r="I157" s="17"/>
      <c r="J157" s="17"/>
      <c r="K157" s="17"/>
      <c r="L157" s="17"/>
      <c r="M157" s="17"/>
    </row>
    <row r="158" spans="1:13">
      <c r="A158" s="43"/>
      <c r="B158" s="44"/>
      <c r="C158" s="17"/>
      <c r="D158" s="17"/>
      <c r="E158" s="41"/>
      <c r="F158" s="47"/>
      <c r="G158" s="47"/>
      <c r="H158" s="17"/>
      <c r="I158" s="17"/>
      <c r="J158" s="17"/>
      <c r="K158" s="17"/>
      <c r="L158" s="17"/>
      <c r="M158" s="17"/>
    </row>
    <row r="159" spans="1:13">
      <c r="A159" s="43"/>
      <c r="B159" s="44"/>
      <c r="C159" s="17"/>
      <c r="D159" s="17"/>
      <c r="E159" s="41"/>
      <c r="F159" s="47"/>
      <c r="G159" s="47"/>
      <c r="H159" s="17"/>
      <c r="I159" s="17"/>
      <c r="J159" s="17"/>
      <c r="K159" s="17"/>
      <c r="L159" s="17"/>
      <c r="M159" s="17"/>
    </row>
    <row r="160" spans="1:13">
      <c r="A160" s="43"/>
      <c r="B160" s="44"/>
      <c r="C160" s="17"/>
      <c r="D160" s="17"/>
      <c r="E160" s="41"/>
      <c r="F160" s="47"/>
      <c r="G160" s="47"/>
      <c r="H160" s="17"/>
      <c r="I160" s="17"/>
      <c r="J160" s="17"/>
      <c r="K160" s="17"/>
      <c r="L160" s="17"/>
      <c r="M160" s="17"/>
    </row>
    <row r="161" spans="1:13">
      <c r="A161" s="43"/>
      <c r="B161" s="44"/>
      <c r="C161" s="17"/>
      <c r="D161" s="17"/>
      <c r="E161" s="41"/>
      <c r="F161" s="47"/>
      <c r="G161" s="47"/>
      <c r="H161" s="17"/>
      <c r="I161" s="17"/>
      <c r="J161" s="17"/>
      <c r="K161" s="17"/>
      <c r="L161" s="17"/>
      <c r="M161" s="17"/>
    </row>
    <row r="162" spans="1:13">
      <c r="A162" s="43"/>
      <c r="B162" s="44"/>
      <c r="C162" s="17"/>
      <c r="D162" s="17"/>
      <c r="E162" s="41"/>
      <c r="F162" s="47"/>
      <c r="G162" s="47"/>
      <c r="H162" s="17"/>
      <c r="I162" s="17"/>
      <c r="J162" s="17"/>
      <c r="K162" s="17"/>
      <c r="L162" s="17"/>
      <c r="M162" s="17"/>
    </row>
    <row r="163" spans="1:13">
      <c r="A163" s="43"/>
      <c r="B163" s="44"/>
      <c r="C163" s="17"/>
      <c r="D163" s="17"/>
      <c r="E163" s="41"/>
      <c r="F163" s="47"/>
      <c r="G163" s="47"/>
      <c r="H163" s="17"/>
      <c r="I163" s="17"/>
      <c r="J163" s="17"/>
      <c r="K163" s="17"/>
      <c r="L163" s="17"/>
      <c r="M163" s="17"/>
    </row>
    <row r="164" spans="1:13">
      <c r="A164" s="43"/>
      <c r="B164" s="44"/>
      <c r="C164" s="17"/>
      <c r="D164" s="17"/>
      <c r="E164" s="41"/>
      <c r="F164" s="47"/>
      <c r="G164" s="47"/>
      <c r="H164" s="17"/>
      <c r="I164" s="17"/>
      <c r="J164" s="17"/>
      <c r="K164" s="17"/>
      <c r="L164" s="17"/>
      <c r="M164" s="17"/>
    </row>
    <row r="165" spans="1:13">
      <c r="A165" s="45"/>
      <c r="B165" s="46"/>
      <c r="C165" s="17"/>
      <c r="D165" s="17"/>
      <c r="E165" s="41"/>
      <c r="F165" s="47"/>
      <c r="G165" s="47"/>
      <c r="H165" s="17"/>
      <c r="I165" s="17"/>
      <c r="J165" s="17"/>
      <c r="K165" s="17"/>
      <c r="L165" s="17"/>
      <c r="M165" s="17"/>
    </row>
    <row r="166" spans="1:13">
      <c r="A166" s="43"/>
      <c r="B166" s="44"/>
      <c r="C166" s="17"/>
      <c r="D166" s="17"/>
      <c r="E166" s="41"/>
      <c r="F166" s="47"/>
      <c r="G166" s="47"/>
      <c r="H166" s="17"/>
      <c r="I166" s="17"/>
      <c r="J166" s="17"/>
      <c r="K166" s="17"/>
      <c r="L166" s="17"/>
      <c r="M166" s="17"/>
    </row>
    <row r="167" spans="1:13">
      <c r="A167" s="43"/>
      <c r="B167" s="44"/>
      <c r="C167" s="17"/>
      <c r="D167" s="17"/>
      <c r="E167" s="41"/>
      <c r="F167" s="47"/>
      <c r="G167" s="47"/>
      <c r="H167" s="17"/>
      <c r="I167" s="17"/>
      <c r="J167" s="17"/>
      <c r="K167" s="17"/>
      <c r="L167" s="17"/>
      <c r="M167" s="17"/>
    </row>
    <row r="168" spans="1:13">
      <c r="A168" s="43"/>
      <c r="B168" s="44"/>
      <c r="C168" s="17"/>
      <c r="D168" s="17"/>
      <c r="E168" s="41"/>
      <c r="F168" s="47"/>
      <c r="G168" s="47"/>
      <c r="H168" s="17"/>
      <c r="I168" s="17"/>
      <c r="J168" s="17"/>
      <c r="K168" s="17"/>
      <c r="L168" s="17"/>
      <c r="M168" s="17"/>
    </row>
    <row r="169" spans="1:13">
      <c r="A169" s="45"/>
      <c r="B169" s="46"/>
      <c r="C169" s="17"/>
      <c r="D169" s="17"/>
      <c r="E169" s="41"/>
      <c r="F169" s="47"/>
      <c r="G169" s="47"/>
      <c r="H169" s="17"/>
      <c r="I169" s="17"/>
      <c r="J169" s="17"/>
      <c r="K169" s="17"/>
      <c r="L169" s="17"/>
      <c r="M169" s="17"/>
    </row>
    <row r="170" spans="1:13">
      <c r="A170" s="43"/>
      <c r="B170" s="44"/>
      <c r="C170" s="17"/>
      <c r="D170" s="17"/>
      <c r="E170" s="41"/>
      <c r="F170" s="47"/>
      <c r="G170" s="47"/>
      <c r="H170" s="17"/>
      <c r="I170" s="17"/>
      <c r="J170" s="17"/>
      <c r="K170" s="17"/>
      <c r="L170" s="17"/>
      <c r="M170" s="17"/>
    </row>
    <row r="171" spans="1:13">
      <c r="A171" s="43"/>
      <c r="B171" s="44"/>
      <c r="C171" s="17"/>
      <c r="D171" s="17"/>
      <c r="E171" s="41"/>
      <c r="F171" s="47"/>
      <c r="G171" s="47"/>
      <c r="H171" s="17"/>
      <c r="I171" s="17"/>
      <c r="J171" s="17"/>
      <c r="K171" s="17"/>
      <c r="L171" s="17"/>
      <c r="M171" s="17"/>
    </row>
    <row r="172" spans="1:13">
      <c r="A172" s="43"/>
      <c r="B172" s="44"/>
      <c r="C172" s="17"/>
      <c r="D172" s="17"/>
      <c r="E172" s="41"/>
      <c r="F172" s="47"/>
      <c r="G172" s="47"/>
      <c r="H172" s="17"/>
      <c r="I172" s="17"/>
      <c r="J172" s="17"/>
      <c r="K172" s="17"/>
      <c r="L172" s="17"/>
      <c r="M172" s="17"/>
    </row>
    <row r="173" spans="1:13">
      <c r="A173" s="43"/>
      <c r="B173" s="44"/>
      <c r="C173" s="17"/>
      <c r="D173" s="17"/>
      <c r="E173" s="41"/>
      <c r="F173" s="47"/>
      <c r="G173" s="47"/>
      <c r="H173" s="17"/>
      <c r="I173" s="17"/>
      <c r="J173" s="17"/>
      <c r="K173" s="17"/>
      <c r="L173" s="17"/>
      <c r="M173" s="17"/>
    </row>
    <row r="174" spans="1:13">
      <c r="A174" s="43"/>
      <c r="B174" s="44"/>
      <c r="C174" s="17"/>
      <c r="D174" s="17"/>
      <c r="E174" s="41"/>
      <c r="F174" s="47"/>
      <c r="G174" s="47"/>
      <c r="H174" s="17"/>
      <c r="I174" s="17"/>
      <c r="J174" s="17"/>
      <c r="K174" s="17"/>
      <c r="L174" s="17"/>
      <c r="M174" s="17"/>
    </row>
    <row r="175" spans="1:13">
      <c r="A175" s="43"/>
      <c r="B175" s="44"/>
      <c r="C175" s="17"/>
      <c r="D175" s="17"/>
      <c r="E175" s="41"/>
      <c r="F175" s="47"/>
      <c r="G175" s="47"/>
      <c r="H175" s="17"/>
      <c r="I175" s="17"/>
      <c r="J175" s="17"/>
      <c r="K175" s="17"/>
      <c r="L175" s="17"/>
      <c r="M175" s="17"/>
    </row>
    <row r="176" spans="1:13">
      <c r="A176" s="45"/>
      <c r="B176" s="46"/>
      <c r="C176" s="17"/>
      <c r="D176" s="17"/>
      <c r="E176" s="41"/>
      <c r="F176" s="47"/>
      <c r="G176" s="47"/>
      <c r="H176" s="17"/>
      <c r="I176" s="17"/>
      <c r="J176" s="17"/>
      <c r="K176" s="17"/>
      <c r="L176" s="17"/>
      <c r="M176" s="17"/>
    </row>
    <row r="177" spans="1:13">
      <c r="A177" s="43"/>
      <c r="B177" s="44"/>
      <c r="C177" s="17"/>
      <c r="D177" s="17"/>
      <c r="E177" s="41"/>
      <c r="F177" s="47"/>
      <c r="G177" s="47"/>
      <c r="H177" s="17"/>
      <c r="I177" s="17"/>
      <c r="J177" s="17"/>
      <c r="K177" s="17"/>
      <c r="L177" s="17"/>
      <c r="M177" s="17"/>
    </row>
    <row r="178" spans="1:13">
      <c r="A178" s="43"/>
      <c r="B178" s="44"/>
      <c r="C178" s="17"/>
      <c r="D178" s="17"/>
      <c r="E178" s="41"/>
      <c r="F178" s="47"/>
      <c r="G178" s="47"/>
      <c r="H178" s="17"/>
      <c r="I178" s="17"/>
      <c r="J178" s="17"/>
      <c r="K178" s="17"/>
      <c r="L178" s="17"/>
      <c r="M178" s="17"/>
    </row>
    <row r="179" spans="1:13">
      <c r="A179" s="43"/>
      <c r="B179" s="44"/>
      <c r="C179" s="17"/>
      <c r="D179" s="17"/>
      <c r="E179" s="41"/>
      <c r="F179" s="47"/>
      <c r="G179" s="47"/>
      <c r="H179" s="17"/>
      <c r="I179" s="17"/>
      <c r="J179" s="17"/>
      <c r="K179" s="17"/>
      <c r="L179" s="17"/>
      <c r="M179" s="17"/>
    </row>
    <row r="180" spans="1:13">
      <c r="A180" s="43"/>
      <c r="B180" s="44"/>
      <c r="C180" s="17"/>
      <c r="D180" s="17"/>
      <c r="E180" s="41"/>
      <c r="F180" s="47"/>
      <c r="G180" s="47"/>
      <c r="H180" s="17"/>
      <c r="I180" s="17"/>
      <c r="J180" s="17"/>
      <c r="K180" s="17"/>
      <c r="L180" s="17"/>
      <c r="M180" s="17"/>
    </row>
    <row r="181" spans="1:13">
      <c r="A181" s="43"/>
      <c r="B181" s="44"/>
      <c r="C181" s="17"/>
      <c r="D181" s="17"/>
      <c r="E181" s="41"/>
      <c r="F181" s="47"/>
      <c r="G181" s="47"/>
      <c r="H181" s="17"/>
      <c r="I181" s="17"/>
      <c r="J181" s="17"/>
      <c r="K181" s="17"/>
      <c r="L181" s="17"/>
      <c r="M181" s="17"/>
    </row>
    <row r="182" spans="1:13">
      <c r="A182" s="43"/>
      <c r="B182" s="44"/>
      <c r="C182" s="17"/>
      <c r="D182" s="17"/>
      <c r="E182" s="41"/>
      <c r="F182" s="47"/>
      <c r="G182" s="47"/>
      <c r="H182" s="17"/>
      <c r="I182" s="17"/>
      <c r="J182" s="17"/>
      <c r="K182" s="17"/>
      <c r="L182" s="17"/>
      <c r="M182" s="17"/>
    </row>
    <row r="183" spans="1:13">
      <c r="A183" s="43"/>
      <c r="B183" s="44"/>
      <c r="C183" s="17"/>
      <c r="D183" s="17"/>
      <c r="E183" s="41"/>
      <c r="F183" s="47"/>
      <c r="G183" s="47"/>
      <c r="H183" s="17"/>
      <c r="I183" s="17"/>
      <c r="J183" s="17"/>
      <c r="K183" s="17"/>
      <c r="L183" s="17"/>
      <c r="M183" s="17"/>
    </row>
    <row r="184" spans="1:13">
      <c r="A184" s="43"/>
      <c r="B184" s="44"/>
      <c r="C184" s="17"/>
      <c r="D184" s="17"/>
      <c r="E184" s="41"/>
      <c r="F184" s="47"/>
      <c r="G184" s="47"/>
      <c r="H184" s="17"/>
      <c r="I184" s="17"/>
      <c r="J184" s="17"/>
      <c r="K184" s="17"/>
      <c r="L184" s="17"/>
      <c r="M184" s="17"/>
    </row>
    <row r="185" spans="1:13">
      <c r="A185" s="45"/>
      <c r="B185" s="46"/>
      <c r="C185" s="17"/>
      <c r="D185" s="17"/>
      <c r="E185" s="41"/>
      <c r="F185" s="47"/>
      <c r="G185" s="47"/>
      <c r="H185" s="17"/>
      <c r="I185" s="17"/>
      <c r="J185" s="17"/>
      <c r="K185" s="17"/>
      <c r="L185" s="17"/>
      <c r="M185" s="17"/>
    </row>
    <row r="186" spans="1:13">
      <c r="A186" s="43"/>
      <c r="B186" s="44"/>
      <c r="C186" s="17"/>
      <c r="D186" s="17"/>
      <c r="E186" s="41"/>
      <c r="F186" s="47"/>
      <c r="G186" s="47"/>
      <c r="H186" s="17"/>
      <c r="I186" s="17"/>
      <c r="J186" s="17"/>
      <c r="K186" s="17"/>
      <c r="L186" s="17"/>
      <c r="M186" s="17"/>
    </row>
    <row r="187" spans="1:13">
      <c r="A187" s="43"/>
      <c r="B187" s="44"/>
      <c r="C187" s="17"/>
      <c r="D187" s="17"/>
      <c r="E187" s="41"/>
      <c r="F187" s="47"/>
      <c r="G187" s="47"/>
      <c r="H187" s="17"/>
      <c r="I187" s="17"/>
      <c r="J187" s="17"/>
      <c r="K187" s="17"/>
      <c r="L187" s="17"/>
      <c r="M187" s="17"/>
    </row>
    <row r="188" spans="1:13">
      <c r="A188" s="45"/>
      <c r="B188" s="46"/>
      <c r="C188" s="17"/>
      <c r="D188" s="17"/>
      <c r="E188" s="41"/>
      <c r="F188" s="47"/>
      <c r="G188" s="47"/>
      <c r="H188" s="17"/>
      <c r="I188" s="17"/>
      <c r="J188" s="17"/>
      <c r="K188" s="17"/>
      <c r="L188" s="17"/>
      <c r="M188" s="17"/>
    </row>
    <row r="189" spans="1:13">
      <c r="A189" s="43"/>
      <c r="B189" s="44"/>
      <c r="C189" s="17"/>
      <c r="D189" s="17"/>
      <c r="E189" s="41"/>
      <c r="F189" s="47"/>
      <c r="G189" s="47"/>
      <c r="H189" s="17"/>
      <c r="I189" s="17"/>
      <c r="J189" s="17"/>
      <c r="K189" s="17"/>
      <c r="L189" s="17"/>
      <c r="M189" s="17"/>
    </row>
    <row r="190" spans="1:13">
      <c r="A190" s="43"/>
      <c r="B190" s="44"/>
      <c r="C190" s="17"/>
      <c r="D190" s="17"/>
      <c r="E190" s="41"/>
      <c r="F190" s="47"/>
      <c r="G190" s="47"/>
      <c r="H190" s="17"/>
      <c r="I190" s="17"/>
      <c r="J190" s="17"/>
      <c r="K190" s="17"/>
      <c r="L190" s="17"/>
      <c r="M190" s="17"/>
    </row>
    <row r="191" spans="1:13">
      <c r="A191" s="43"/>
      <c r="B191" s="44"/>
      <c r="C191" s="17"/>
      <c r="D191" s="17"/>
      <c r="E191" s="41"/>
      <c r="F191" s="47"/>
      <c r="G191" s="47"/>
      <c r="H191" s="17"/>
      <c r="I191" s="17"/>
      <c r="J191" s="17"/>
      <c r="K191" s="17"/>
      <c r="L191" s="17"/>
      <c r="M191" s="17"/>
    </row>
    <row r="192" spans="1:13">
      <c r="A192" s="43"/>
      <c r="B192" s="44"/>
      <c r="C192" s="17"/>
      <c r="D192" s="17"/>
      <c r="E192" s="41"/>
      <c r="F192" s="47"/>
      <c r="G192" s="47"/>
      <c r="H192" s="17"/>
      <c r="I192" s="17"/>
      <c r="J192" s="17"/>
      <c r="K192" s="17"/>
      <c r="L192" s="17"/>
      <c r="M192" s="17"/>
    </row>
    <row r="193" spans="1:13">
      <c r="A193" s="45"/>
      <c r="B193" s="46"/>
      <c r="C193" s="17"/>
      <c r="D193" s="17"/>
      <c r="E193" s="41"/>
      <c r="F193" s="47"/>
      <c r="G193" s="47"/>
      <c r="H193" s="17"/>
      <c r="I193" s="17"/>
      <c r="J193" s="17"/>
      <c r="K193" s="17"/>
      <c r="L193" s="17"/>
      <c r="M193" s="17"/>
    </row>
    <row r="194" spans="1:13">
      <c r="A194" s="43"/>
      <c r="B194" s="44"/>
      <c r="C194" s="17"/>
      <c r="D194" s="17"/>
      <c r="E194" s="41"/>
      <c r="F194" s="47"/>
      <c r="G194" s="47"/>
      <c r="H194" s="17"/>
      <c r="I194" s="17"/>
      <c r="J194" s="17"/>
      <c r="K194" s="17"/>
      <c r="L194" s="17"/>
      <c r="M194" s="17"/>
    </row>
    <row r="195" spans="1:13">
      <c r="A195" s="43"/>
      <c r="B195" s="44"/>
      <c r="C195" s="17"/>
      <c r="D195" s="17"/>
      <c r="E195" s="41"/>
      <c r="F195" s="47"/>
      <c r="G195" s="47"/>
      <c r="H195" s="17"/>
      <c r="I195" s="17"/>
      <c r="J195" s="17"/>
      <c r="K195" s="17"/>
      <c r="L195" s="17"/>
      <c r="M195" s="17"/>
    </row>
    <row r="196" spans="1:13">
      <c r="A196" s="43"/>
      <c r="B196" s="44"/>
      <c r="C196" s="17"/>
      <c r="D196" s="17"/>
      <c r="E196" s="41"/>
      <c r="F196" s="47"/>
      <c r="G196" s="47"/>
      <c r="H196" s="17"/>
      <c r="I196" s="17"/>
      <c r="J196" s="17"/>
      <c r="K196" s="17"/>
      <c r="L196" s="17"/>
      <c r="M196" s="17"/>
    </row>
    <row r="197" spans="1:13">
      <c r="A197" s="45"/>
      <c r="B197" s="46"/>
      <c r="C197" s="17"/>
      <c r="D197" s="17"/>
      <c r="E197" s="41"/>
      <c r="F197" s="47"/>
      <c r="G197" s="47"/>
      <c r="H197" s="17"/>
      <c r="I197" s="17"/>
      <c r="J197" s="17"/>
      <c r="K197" s="17"/>
      <c r="L197" s="17"/>
      <c r="M197" s="17"/>
    </row>
    <row r="198" spans="1:13">
      <c r="A198" s="43"/>
      <c r="B198" s="44"/>
      <c r="C198" s="17"/>
      <c r="D198" s="17"/>
      <c r="E198" s="41"/>
      <c r="F198" s="47"/>
      <c r="G198" s="47"/>
      <c r="H198" s="17"/>
      <c r="I198" s="17"/>
      <c r="J198" s="17"/>
      <c r="K198" s="17"/>
      <c r="L198" s="17"/>
      <c r="M198" s="17"/>
    </row>
    <row r="199" spans="1:13">
      <c r="A199" s="43"/>
      <c r="B199" s="44"/>
      <c r="C199" s="17"/>
      <c r="D199" s="17"/>
      <c r="E199" s="41"/>
      <c r="F199" s="47"/>
      <c r="G199" s="47"/>
      <c r="H199" s="17"/>
      <c r="I199" s="17"/>
      <c r="J199" s="17"/>
      <c r="K199" s="17"/>
      <c r="L199" s="17"/>
      <c r="M199" s="17"/>
    </row>
    <row r="200" spans="1:13">
      <c r="A200" s="43"/>
      <c r="B200" s="44"/>
      <c r="C200" s="17"/>
      <c r="D200" s="17"/>
      <c r="E200" s="41"/>
      <c r="F200" s="47"/>
      <c r="G200" s="47"/>
      <c r="H200" s="17"/>
      <c r="I200" s="17"/>
      <c r="J200" s="17"/>
      <c r="K200" s="17"/>
      <c r="L200" s="17"/>
      <c r="M200" s="17"/>
    </row>
    <row r="201" spans="1:13">
      <c r="A201" s="43"/>
      <c r="B201" s="44"/>
      <c r="C201" s="17"/>
      <c r="D201" s="17"/>
      <c r="E201" s="41"/>
      <c r="F201" s="47"/>
      <c r="G201" s="47"/>
      <c r="H201" s="17"/>
      <c r="I201" s="17"/>
      <c r="J201" s="17"/>
      <c r="K201" s="17"/>
      <c r="L201" s="17"/>
      <c r="M201" s="17"/>
    </row>
    <row r="202" spans="1:13">
      <c r="A202" s="43"/>
      <c r="B202" s="44"/>
      <c r="C202" s="17"/>
      <c r="D202" s="17"/>
      <c r="E202" s="41"/>
      <c r="F202" s="47"/>
      <c r="G202" s="47"/>
      <c r="H202" s="17"/>
      <c r="I202" s="17"/>
      <c r="J202" s="17"/>
      <c r="K202" s="17"/>
      <c r="L202" s="17"/>
      <c r="M202" s="17"/>
    </row>
    <row r="203" spans="1:13">
      <c r="A203" s="43"/>
      <c r="B203" s="44"/>
      <c r="C203" s="17"/>
      <c r="D203" s="17"/>
      <c r="E203" s="41"/>
      <c r="F203" s="47"/>
      <c r="G203" s="47"/>
      <c r="H203" s="17"/>
      <c r="I203" s="17"/>
      <c r="J203" s="17"/>
      <c r="K203" s="17"/>
      <c r="L203" s="17"/>
      <c r="M203" s="17"/>
    </row>
    <row r="204" spans="1:13">
      <c r="A204" s="43"/>
      <c r="B204" s="44"/>
      <c r="C204" s="17"/>
      <c r="D204" s="17"/>
      <c r="E204" s="41"/>
      <c r="F204" s="47"/>
      <c r="G204" s="47"/>
      <c r="H204" s="17"/>
      <c r="I204" s="17"/>
      <c r="J204" s="17"/>
      <c r="K204" s="17"/>
      <c r="L204" s="17"/>
      <c r="M204" s="17"/>
    </row>
    <row r="205" spans="1:13">
      <c r="A205" s="43"/>
      <c r="B205" s="44"/>
      <c r="C205" s="17"/>
      <c r="D205" s="17"/>
      <c r="E205" s="41"/>
      <c r="F205" s="47"/>
      <c r="G205" s="47"/>
      <c r="H205" s="17"/>
      <c r="I205" s="17"/>
      <c r="J205" s="17"/>
      <c r="K205" s="17"/>
      <c r="L205" s="17"/>
      <c r="M205" s="17"/>
    </row>
    <row r="206" spans="1:13">
      <c r="A206" s="43"/>
      <c r="B206" s="44"/>
      <c r="C206" s="17"/>
      <c r="D206" s="17"/>
      <c r="E206" s="41"/>
      <c r="F206" s="42"/>
      <c r="G206" s="42"/>
      <c r="H206" s="17"/>
      <c r="I206" s="17"/>
      <c r="J206" s="17"/>
      <c r="K206" s="17"/>
      <c r="L206" s="17"/>
      <c r="M206" s="17"/>
    </row>
    <row r="207" spans="1:13">
      <c r="A207" s="43"/>
      <c r="B207" s="44"/>
      <c r="C207" s="17"/>
      <c r="D207" s="17"/>
      <c r="E207" s="41"/>
      <c r="F207" s="42"/>
      <c r="G207" s="42"/>
      <c r="H207" s="17"/>
      <c r="I207" s="17"/>
      <c r="J207" s="17"/>
      <c r="K207" s="17"/>
      <c r="L207" s="17"/>
      <c r="M207" s="17"/>
    </row>
    <row r="208" spans="1:13">
      <c r="A208" s="43"/>
      <c r="B208" s="44"/>
      <c r="C208" s="17"/>
      <c r="D208" s="17"/>
      <c r="E208" s="41"/>
      <c r="F208" s="42"/>
      <c r="G208" s="42"/>
      <c r="H208" s="17"/>
      <c r="I208" s="17"/>
      <c r="J208" s="17"/>
      <c r="K208" s="17"/>
      <c r="L208" s="17"/>
      <c r="M208" s="17"/>
    </row>
    <row r="209" spans="1:13">
      <c r="A209" s="43"/>
      <c r="B209" s="44"/>
      <c r="C209" s="17"/>
      <c r="D209" s="17"/>
      <c r="E209" s="41"/>
      <c r="F209" s="42"/>
      <c r="G209" s="42"/>
      <c r="H209" s="17"/>
      <c r="I209" s="17"/>
      <c r="J209" s="17"/>
      <c r="K209" s="17"/>
      <c r="L209" s="17"/>
      <c r="M209" s="17"/>
    </row>
    <row r="210" spans="1:13">
      <c r="A210" s="43"/>
      <c r="B210" s="44"/>
      <c r="C210" s="17"/>
      <c r="D210" s="17"/>
      <c r="E210" s="41"/>
      <c r="F210" s="42"/>
      <c r="G210" s="42"/>
      <c r="H210" s="17"/>
      <c r="I210" s="17"/>
      <c r="J210" s="17"/>
      <c r="K210" s="17"/>
      <c r="L210" s="17"/>
      <c r="M210" s="17"/>
    </row>
    <row r="211" spans="1:13">
      <c r="A211" s="43"/>
      <c r="B211" s="44"/>
      <c r="C211" s="17"/>
      <c r="D211" s="17"/>
      <c r="E211" s="41"/>
      <c r="F211" s="42"/>
      <c r="G211" s="42"/>
      <c r="H211" s="17"/>
      <c r="I211" s="17"/>
      <c r="J211" s="17"/>
      <c r="K211" s="17"/>
      <c r="L211" s="17"/>
      <c r="M211" s="17"/>
    </row>
    <row r="212" spans="1:13">
      <c r="A212" s="43"/>
      <c r="B212" s="44"/>
      <c r="C212" s="17"/>
      <c r="D212" s="17"/>
      <c r="E212" s="41"/>
      <c r="F212" s="42"/>
      <c r="G212" s="42"/>
      <c r="H212" s="17"/>
      <c r="I212" s="17"/>
      <c r="J212" s="17"/>
      <c r="K212" s="17"/>
      <c r="L212" s="17"/>
      <c r="M212" s="17"/>
    </row>
    <row r="213" spans="1:13">
      <c r="A213" s="43"/>
      <c r="B213" s="44"/>
      <c r="C213" s="17"/>
      <c r="D213" s="17"/>
      <c r="E213" s="41"/>
      <c r="F213" s="47"/>
      <c r="G213" s="47"/>
      <c r="H213" s="17"/>
      <c r="I213" s="17"/>
      <c r="J213" s="17"/>
      <c r="K213" s="17"/>
      <c r="L213" s="17"/>
      <c r="M213" s="17"/>
    </row>
    <row r="214" spans="1:13">
      <c r="A214" s="43"/>
      <c r="B214" s="44"/>
      <c r="C214" s="17"/>
      <c r="D214" s="17"/>
      <c r="E214" s="41"/>
      <c r="F214" s="47"/>
      <c r="G214" s="47"/>
      <c r="H214" s="17"/>
      <c r="I214" s="17"/>
      <c r="J214" s="17"/>
      <c r="K214" s="17"/>
      <c r="L214" s="17"/>
      <c r="M214" s="17"/>
    </row>
    <row r="215" spans="1:13">
      <c r="A215" s="43"/>
      <c r="B215" s="44"/>
      <c r="C215" s="17"/>
      <c r="D215" s="17"/>
      <c r="E215" s="41"/>
      <c r="F215" s="47"/>
      <c r="G215" s="47"/>
      <c r="H215" s="17"/>
      <c r="I215" s="17"/>
      <c r="J215" s="17"/>
      <c r="K215" s="17"/>
      <c r="L215" s="17"/>
      <c r="M215" s="17"/>
    </row>
    <row r="216" spans="1:13">
      <c r="A216" s="43"/>
      <c r="B216" s="44"/>
      <c r="C216" s="17"/>
      <c r="D216" s="17"/>
      <c r="E216" s="41"/>
      <c r="F216" s="47"/>
      <c r="G216" s="47"/>
      <c r="H216" s="17"/>
      <c r="I216" s="17"/>
      <c r="J216" s="17"/>
      <c r="K216" s="17"/>
      <c r="L216" s="17"/>
      <c r="M216" s="17"/>
    </row>
    <row r="217" spans="1:13">
      <c r="A217" s="43"/>
      <c r="B217" s="44"/>
      <c r="C217" s="17"/>
      <c r="D217" s="17"/>
      <c r="E217" s="41"/>
      <c r="F217" s="47"/>
      <c r="G217" s="47"/>
      <c r="H217" s="17"/>
      <c r="I217" s="17"/>
      <c r="J217" s="17"/>
      <c r="K217" s="17"/>
      <c r="L217" s="17"/>
      <c r="M217" s="17"/>
    </row>
    <row r="218" spans="1:13">
      <c r="A218" s="43"/>
      <c r="B218" s="44"/>
      <c r="C218" s="17"/>
      <c r="D218" s="17"/>
      <c r="E218" s="41"/>
      <c r="F218" s="47"/>
      <c r="G218" s="47"/>
      <c r="H218" s="17"/>
      <c r="I218" s="17"/>
      <c r="J218" s="17"/>
      <c r="K218" s="17"/>
      <c r="L218" s="17"/>
      <c r="M218" s="17"/>
    </row>
    <row r="219" spans="1:13">
      <c r="A219" s="45"/>
      <c r="B219" s="46"/>
      <c r="C219" s="17"/>
      <c r="D219" s="17"/>
      <c r="E219" s="41"/>
      <c r="F219" s="47"/>
      <c r="G219" s="47"/>
      <c r="H219" s="17"/>
      <c r="I219" s="17"/>
      <c r="J219" s="17"/>
      <c r="K219" s="17"/>
      <c r="L219" s="17"/>
      <c r="M219" s="17"/>
    </row>
    <row r="220" spans="1:13">
      <c r="A220" s="43"/>
      <c r="B220" s="44"/>
      <c r="C220" s="17"/>
      <c r="D220" s="17"/>
      <c r="E220" s="41"/>
      <c r="F220" s="47"/>
      <c r="G220" s="47"/>
      <c r="H220" s="17"/>
      <c r="I220" s="17"/>
      <c r="J220" s="17"/>
      <c r="K220" s="17"/>
      <c r="L220" s="17"/>
      <c r="M220" s="17"/>
    </row>
    <row r="221" spans="1:13">
      <c r="A221" s="43"/>
      <c r="B221" s="44"/>
      <c r="C221" s="17"/>
      <c r="D221" s="17"/>
      <c r="E221" s="41"/>
      <c r="F221" s="47"/>
      <c r="G221" s="47"/>
      <c r="H221" s="17"/>
      <c r="I221" s="17"/>
      <c r="J221" s="17"/>
      <c r="K221" s="17"/>
      <c r="L221" s="17"/>
      <c r="M221" s="17"/>
    </row>
    <row r="222" spans="1:13">
      <c r="A222" s="43"/>
      <c r="B222" s="44"/>
      <c r="C222" s="17"/>
      <c r="D222" s="17"/>
      <c r="E222" s="41"/>
      <c r="F222" s="47"/>
      <c r="G222" s="47"/>
      <c r="H222" s="17"/>
      <c r="I222" s="17"/>
      <c r="J222" s="17"/>
      <c r="K222" s="17"/>
      <c r="L222" s="17"/>
      <c r="M222" s="17"/>
    </row>
    <row r="223" spans="1:13">
      <c r="A223" s="45"/>
      <c r="B223" s="46"/>
      <c r="C223" s="17"/>
      <c r="D223" s="17"/>
      <c r="E223" s="41"/>
      <c r="F223" s="47"/>
      <c r="G223" s="47"/>
      <c r="H223" s="17"/>
      <c r="I223" s="17"/>
      <c r="J223" s="17"/>
      <c r="K223" s="17"/>
      <c r="L223" s="17"/>
      <c r="M223" s="17"/>
    </row>
    <row r="224" spans="1:13">
      <c r="A224" s="43"/>
      <c r="B224" s="44"/>
      <c r="C224" s="17"/>
      <c r="D224" s="17"/>
      <c r="E224" s="41"/>
      <c r="F224" s="47"/>
      <c r="G224" s="47"/>
      <c r="H224" s="17"/>
      <c r="I224" s="17"/>
      <c r="J224" s="17"/>
      <c r="K224" s="17"/>
      <c r="L224" s="17"/>
      <c r="M224" s="17"/>
    </row>
    <row r="225" spans="1:13">
      <c r="A225" s="43"/>
      <c r="B225" s="44"/>
      <c r="C225" s="17"/>
      <c r="D225" s="17"/>
      <c r="E225" s="41"/>
      <c r="F225" s="47"/>
      <c r="G225" s="47"/>
      <c r="H225" s="17"/>
      <c r="I225" s="17"/>
      <c r="J225" s="17"/>
      <c r="K225" s="17"/>
      <c r="L225" s="17"/>
      <c r="M225" s="17"/>
    </row>
    <row r="226" spans="1:13">
      <c r="A226" s="43"/>
      <c r="B226" s="44"/>
      <c r="C226" s="17"/>
      <c r="D226" s="17"/>
      <c r="E226" s="41"/>
      <c r="F226" s="47"/>
      <c r="G226" s="47"/>
      <c r="H226" s="17"/>
      <c r="I226" s="17"/>
      <c r="J226" s="17"/>
      <c r="K226" s="17"/>
      <c r="L226" s="17"/>
      <c r="M226" s="17"/>
    </row>
    <row r="227" spans="1:13">
      <c r="A227" s="45"/>
      <c r="B227" s="46"/>
      <c r="C227" s="17"/>
      <c r="D227" s="17"/>
      <c r="E227" s="41"/>
      <c r="F227" s="47"/>
      <c r="G227" s="47"/>
      <c r="H227" s="17"/>
      <c r="I227" s="17"/>
      <c r="J227" s="17"/>
      <c r="K227" s="17"/>
      <c r="L227" s="17"/>
      <c r="M227" s="17"/>
    </row>
    <row r="228" spans="1:13">
      <c r="A228" s="43"/>
      <c r="B228" s="44"/>
      <c r="C228" s="17"/>
      <c r="D228" s="17"/>
      <c r="E228" s="41"/>
      <c r="F228" s="47"/>
      <c r="G228" s="47"/>
      <c r="H228" s="17"/>
      <c r="I228" s="17"/>
      <c r="J228" s="17"/>
      <c r="K228" s="17"/>
      <c r="L228" s="17"/>
      <c r="M228" s="17"/>
    </row>
    <row r="229" spans="1:13">
      <c r="A229" s="43"/>
      <c r="B229" s="44"/>
      <c r="C229" s="17"/>
      <c r="D229" s="17"/>
      <c r="E229" s="41"/>
      <c r="F229" s="47"/>
      <c r="G229" s="47"/>
      <c r="H229" s="17"/>
      <c r="I229" s="17"/>
      <c r="J229" s="17"/>
      <c r="K229" s="17"/>
      <c r="L229" s="17"/>
      <c r="M229" s="17"/>
    </row>
    <row r="230" spans="1:13">
      <c r="A230" s="43"/>
      <c r="B230" s="44"/>
      <c r="C230" s="17"/>
      <c r="D230" s="17"/>
      <c r="E230" s="41"/>
      <c r="F230" s="47"/>
      <c r="G230" s="47"/>
      <c r="H230" s="17"/>
      <c r="I230" s="17"/>
      <c r="J230" s="17"/>
      <c r="K230" s="17"/>
      <c r="L230" s="17"/>
      <c r="M230" s="17"/>
    </row>
    <row r="231" spans="1:13">
      <c r="A231" s="43"/>
      <c r="B231" s="44"/>
      <c r="C231" s="17"/>
      <c r="D231" s="17"/>
      <c r="E231" s="41"/>
      <c r="F231" s="47"/>
      <c r="G231" s="47"/>
      <c r="H231" s="17"/>
      <c r="I231" s="17"/>
      <c r="J231" s="17"/>
      <c r="K231" s="17"/>
      <c r="L231" s="17"/>
      <c r="M231" s="17"/>
    </row>
    <row r="232" spans="1:13">
      <c r="A232" s="45"/>
      <c r="B232" s="46"/>
      <c r="C232" s="17"/>
      <c r="D232" s="17"/>
      <c r="E232" s="41"/>
      <c r="F232" s="47"/>
      <c r="G232" s="47"/>
      <c r="H232" s="17"/>
      <c r="I232" s="17"/>
      <c r="J232" s="17"/>
      <c r="K232" s="17"/>
      <c r="L232" s="17"/>
      <c r="M232" s="17"/>
    </row>
    <row r="233" spans="1:13">
      <c r="A233" s="43"/>
      <c r="B233" s="44"/>
      <c r="C233" s="17"/>
      <c r="D233" s="17"/>
      <c r="E233" s="41"/>
      <c r="F233" s="47"/>
      <c r="G233" s="47"/>
      <c r="H233" s="17"/>
      <c r="I233" s="17"/>
      <c r="J233" s="17"/>
      <c r="K233" s="17"/>
      <c r="L233" s="17"/>
      <c r="M233" s="17"/>
    </row>
    <row r="234" spans="1:13">
      <c r="A234" s="43"/>
      <c r="B234" s="44"/>
      <c r="C234" s="17"/>
      <c r="D234" s="17"/>
      <c r="E234" s="41"/>
      <c r="F234" s="47"/>
      <c r="G234" s="47"/>
      <c r="H234" s="17"/>
      <c r="I234" s="17"/>
      <c r="J234" s="17"/>
      <c r="K234" s="17"/>
      <c r="L234" s="17"/>
      <c r="M234" s="17"/>
    </row>
    <row r="235" spans="1:13">
      <c r="A235" s="43"/>
      <c r="B235" s="44"/>
      <c r="C235" s="17"/>
      <c r="D235" s="17"/>
      <c r="E235" s="41"/>
      <c r="F235" s="47"/>
      <c r="G235" s="47"/>
      <c r="H235" s="17"/>
      <c r="I235" s="17"/>
      <c r="J235" s="17"/>
      <c r="K235" s="17"/>
      <c r="L235" s="17"/>
      <c r="M235" s="17"/>
    </row>
    <row r="236" spans="1:13">
      <c r="A236" s="43"/>
      <c r="B236" s="44"/>
      <c r="C236" s="17"/>
      <c r="D236" s="17"/>
      <c r="E236" s="41"/>
      <c r="F236" s="47"/>
      <c r="G236" s="47"/>
      <c r="H236" s="17"/>
      <c r="I236" s="17"/>
      <c r="J236" s="17"/>
      <c r="K236" s="17"/>
      <c r="L236" s="17"/>
      <c r="M236" s="17"/>
    </row>
    <row r="237" spans="1:13">
      <c r="A237" s="45"/>
      <c r="B237" s="46"/>
      <c r="C237" s="17"/>
      <c r="D237" s="17"/>
      <c r="E237" s="41"/>
      <c r="F237" s="47"/>
      <c r="G237" s="47"/>
      <c r="H237" s="17"/>
      <c r="I237" s="17"/>
      <c r="J237" s="17"/>
      <c r="K237" s="17"/>
      <c r="L237" s="17"/>
      <c r="M237" s="17"/>
    </row>
    <row r="238" spans="1:13">
      <c r="A238" s="43"/>
      <c r="B238" s="44"/>
      <c r="C238" s="17"/>
      <c r="D238" s="17"/>
      <c r="E238" s="41"/>
      <c r="F238" s="47"/>
      <c r="G238" s="47"/>
      <c r="H238" s="17"/>
      <c r="I238" s="17"/>
      <c r="J238" s="17"/>
      <c r="K238" s="17"/>
      <c r="L238" s="17"/>
      <c r="M238" s="17"/>
    </row>
    <row r="239" spans="1:13">
      <c r="A239" s="43"/>
      <c r="B239" s="44"/>
      <c r="C239" s="17"/>
      <c r="D239" s="17"/>
      <c r="E239" s="41"/>
      <c r="F239" s="47"/>
      <c r="G239" s="47"/>
      <c r="H239" s="17"/>
      <c r="I239" s="17"/>
      <c r="J239" s="17"/>
      <c r="K239" s="17"/>
      <c r="L239" s="17"/>
      <c r="M239" s="17"/>
    </row>
    <row r="240" spans="1:13">
      <c r="A240" s="45"/>
      <c r="B240" s="46"/>
      <c r="C240" s="17"/>
      <c r="D240" s="17"/>
      <c r="E240" s="41"/>
      <c r="F240" s="47"/>
      <c r="G240" s="47"/>
      <c r="H240" s="17"/>
      <c r="I240" s="17"/>
      <c r="J240" s="17"/>
      <c r="K240" s="17"/>
      <c r="L240" s="17"/>
      <c r="M240" s="17"/>
    </row>
    <row r="241" spans="1:13">
      <c r="A241" s="43"/>
      <c r="B241" s="44"/>
      <c r="C241" s="17"/>
      <c r="D241" s="17"/>
      <c r="E241" s="41"/>
      <c r="F241" s="47"/>
      <c r="G241" s="47"/>
      <c r="H241" s="17"/>
      <c r="I241" s="17"/>
      <c r="J241" s="17"/>
      <c r="K241" s="17"/>
      <c r="L241" s="17"/>
      <c r="M241" s="17"/>
    </row>
    <row r="242" spans="1:13">
      <c r="A242" s="43"/>
      <c r="B242" s="44"/>
      <c r="C242" s="17"/>
      <c r="D242" s="17"/>
      <c r="E242" s="41"/>
      <c r="F242" s="42"/>
      <c r="G242" s="42"/>
      <c r="H242" s="17"/>
      <c r="I242" s="17"/>
      <c r="J242" s="17"/>
      <c r="K242" s="17"/>
      <c r="L242" s="17"/>
      <c r="M242" s="17"/>
    </row>
    <row r="243" spans="1:13">
      <c r="A243" s="43"/>
      <c r="B243" s="44"/>
      <c r="C243" s="17"/>
      <c r="D243" s="17"/>
      <c r="E243" s="41"/>
      <c r="F243" s="42"/>
      <c r="G243" s="42"/>
      <c r="H243" s="17"/>
      <c r="I243" s="17"/>
      <c r="J243" s="17"/>
      <c r="K243" s="17"/>
      <c r="L243" s="17"/>
      <c r="M243" s="17"/>
    </row>
    <row r="244" spans="1:13">
      <c r="A244" s="45"/>
      <c r="B244" s="46"/>
      <c r="C244" s="17"/>
      <c r="D244" s="17"/>
      <c r="E244" s="41"/>
      <c r="F244" s="42"/>
      <c r="G244" s="42"/>
      <c r="H244" s="17"/>
      <c r="I244" s="17"/>
      <c r="J244" s="17"/>
      <c r="K244" s="17"/>
      <c r="L244" s="17"/>
      <c r="M244" s="17"/>
    </row>
    <row r="245" spans="1:13">
      <c r="A245" s="43"/>
      <c r="B245" s="44"/>
      <c r="C245" s="17"/>
      <c r="D245" s="17"/>
      <c r="E245" s="41"/>
      <c r="F245" s="42"/>
      <c r="G245" s="42"/>
      <c r="H245" s="17"/>
      <c r="I245" s="17"/>
      <c r="J245" s="17"/>
      <c r="K245" s="17"/>
      <c r="L245" s="17"/>
      <c r="M245" s="17"/>
    </row>
    <row r="246" spans="1:13">
      <c r="A246" s="43"/>
      <c r="B246" s="44"/>
      <c r="C246" s="17"/>
      <c r="D246" s="17"/>
      <c r="E246" s="41"/>
      <c r="F246" s="42"/>
      <c r="G246" s="42"/>
      <c r="H246" s="17"/>
      <c r="I246" s="17"/>
      <c r="J246" s="17"/>
      <c r="K246" s="17"/>
      <c r="L246" s="17"/>
      <c r="M246" s="17"/>
    </row>
    <row r="247" spans="1:13">
      <c r="A247" s="43"/>
      <c r="B247" s="44"/>
      <c r="C247" s="17"/>
      <c r="D247" s="17"/>
      <c r="E247" s="41"/>
      <c r="F247" s="42"/>
      <c r="G247" s="42"/>
      <c r="H247" s="17"/>
      <c r="I247" s="17"/>
      <c r="J247" s="17"/>
      <c r="K247" s="17"/>
      <c r="L247" s="17"/>
      <c r="M247" s="17"/>
    </row>
    <row r="248" spans="1:13">
      <c r="A248" s="45"/>
      <c r="B248" s="46"/>
      <c r="C248" s="17"/>
      <c r="D248" s="17"/>
      <c r="E248" s="41"/>
      <c r="F248" s="42"/>
      <c r="G248" s="42"/>
      <c r="H248" s="17"/>
      <c r="I248" s="17"/>
      <c r="J248" s="17"/>
      <c r="K248" s="17"/>
      <c r="L248" s="17"/>
      <c r="M248" s="17"/>
    </row>
    <row r="249" spans="1:13">
      <c r="A249" s="43"/>
      <c r="B249" s="44"/>
      <c r="C249" s="17"/>
      <c r="D249" s="17"/>
      <c r="E249" s="41"/>
      <c r="F249" s="47"/>
      <c r="G249" s="47"/>
      <c r="H249" s="17"/>
      <c r="I249" s="17"/>
      <c r="J249" s="17"/>
      <c r="K249" s="17"/>
      <c r="L249" s="17"/>
      <c r="M249" s="17"/>
    </row>
    <row r="250" spans="1:13">
      <c r="A250" s="43"/>
      <c r="B250" s="44"/>
      <c r="C250" s="17"/>
      <c r="D250" s="17"/>
      <c r="E250" s="41"/>
      <c r="F250" s="47"/>
      <c r="G250" s="47"/>
      <c r="H250" s="17"/>
      <c r="I250" s="17"/>
      <c r="J250" s="17"/>
      <c r="K250" s="17"/>
      <c r="L250" s="17"/>
      <c r="M250" s="17"/>
    </row>
    <row r="251" spans="1:13">
      <c r="A251" s="43"/>
      <c r="B251" s="44"/>
      <c r="C251" s="17"/>
      <c r="D251" s="17"/>
      <c r="E251" s="41"/>
      <c r="F251" s="47"/>
      <c r="G251" s="47"/>
      <c r="H251" s="17"/>
      <c r="I251" s="17"/>
      <c r="J251" s="17"/>
      <c r="K251" s="17"/>
      <c r="L251" s="17"/>
      <c r="M251" s="17"/>
    </row>
    <row r="252" spans="1:13">
      <c r="A252" s="43"/>
      <c r="B252" s="44"/>
      <c r="C252" s="17"/>
      <c r="D252" s="17"/>
      <c r="E252" s="41"/>
      <c r="F252" s="47"/>
      <c r="G252" s="47"/>
      <c r="H252" s="17"/>
      <c r="I252" s="17"/>
      <c r="J252" s="17"/>
      <c r="K252" s="17"/>
      <c r="L252" s="17"/>
      <c r="M252" s="17"/>
    </row>
    <row r="253" spans="1:13">
      <c r="A253" s="43"/>
      <c r="B253" s="44"/>
      <c r="C253" s="17"/>
      <c r="D253" s="17"/>
      <c r="E253" s="41"/>
      <c r="F253" s="47"/>
      <c r="G253" s="47"/>
      <c r="H253" s="17"/>
      <c r="I253" s="17"/>
      <c r="J253" s="17"/>
      <c r="K253" s="17"/>
      <c r="L253" s="17"/>
      <c r="M253" s="17"/>
    </row>
    <row r="254" spans="1:13">
      <c r="A254" s="43"/>
      <c r="B254" s="44"/>
      <c r="C254" s="17"/>
      <c r="D254" s="17"/>
      <c r="E254" s="41"/>
      <c r="F254" s="47"/>
      <c r="G254" s="47"/>
      <c r="H254" s="17"/>
      <c r="I254" s="17"/>
      <c r="J254" s="17"/>
      <c r="K254" s="17"/>
      <c r="L254" s="17"/>
      <c r="M254" s="17"/>
    </row>
    <row r="255" spans="1:13">
      <c r="A255" s="43"/>
      <c r="B255" s="44"/>
      <c r="C255" s="17"/>
      <c r="D255" s="17"/>
      <c r="E255" s="41"/>
      <c r="F255" s="47"/>
      <c r="G255" s="47"/>
      <c r="H255" s="17"/>
      <c r="I255" s="17"/>
      <c r="J255" s="17"/>
      <c r="K255" s="17"/>
      <c r="L255" s="17"/>
      <c r="M255" s="17"/>
    </row>
    <row r="256" spans="1:13">
      <c r="A256" s="43"/>
      <c r="B256" s="44"/>
      <c r="C256" s="17"/>
      <c r="D256" s="17"/>
      <c r="E256" s="41"/>
      <c r="F256" s="47"/>
      <c r="G256" s="47"/>
      <c r="H256" s="17"/>
      <c r="I256" s="17"/>
      <c r="J256" s="17"/>
      <c r="K256" s="17"/>
      <c r="L256" s="17"/>
      <c r="M256" s="17"/>
    </row>
    <row r="257" spans="1:13">
      <c r="A257" s="43"/>
      <c r="B257" s="44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>
      <c r="A258" s="43"/>
      <c r="B258" s="44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>
      <c r="A259" s="43"/>
      <c r="B259" s="44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>
      <c r="A260" s="43"/>
      <c r="B260" s="44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>
      <c r="A261" s="43"/>
      <c r="B261" s="44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>
      <c r="A262" s="43"/>
      <c r="B262" s="44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>
      <c r="A263" s="43"/>
      <c r="B263" s="44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>
      <c r="A264" s="43"/>
      <c r="B264" s="44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>
      <c r="A265" s="43"/>
      <c r="B265" s="44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>
      <c r="A266" s="43"/>
      <c r="B266" s="44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>
      <c r="A267" s="45"/>
      <c r="B267" s="46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>
      <c r="A268" s="43"/>
      <c r="B268" s="44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>
      <c r="A269" s="43"/>
      <c r="B269" s="44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>
      <c r="A270" s="43"/>
      <c r="B270" s="44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>
      <c r="A271" s="43"/>
      <c r="B271" s="44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>
      <c r="A272" s="43"/>
      <c r="B272" s="44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>
      <c r="A273" s="45"/>
      <c r="B273" s="46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>
      <c r="A274" s="43"/>
      <c r="B274" s="44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>
      <c r="A275" s="43"/>
      <c r="B275" s="44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>
      <c r="A276" s="43"/>
      <c r="B276" s="44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>
      <c r="A277" s="45"/>
      <c r="B277" s="46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>
      <c r="A278" s="43"/>
      <c r="B278" s="44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>
      <c r="A279" s="43"/>
      <c r="B279" s="44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>
      <c r="A280" s="45"/>
      <c r="B280" s="46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>
      <c r="A281" s="43"/>
      <c r="B281" s="44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>
      <c r="A282" s="43"/>
      <c r="B282" s="44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>
      <c r="A283" s="43"/>
      <c r="B283" s="44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>
      <c r="A284" s="45"/>
      <c r="B284" s="46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>
      <c r="A285" s="43"/>
      <c r="B285" s="44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>
      <c r="A286" s="43"/>
      <c r="B286" s="44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>
      <c r="A287" s="43"/>
      <c r="B287" s="44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>
      <c r="A288" s="43"/>
      <c r="B288" s="44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>
      <c r="A289" s="43"/>
      <c r="B289" s="44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>
      <c r="A290" s="43"/>
      <c r="B290" s="44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>
      <c r="A291" s="43"/>
      <c r="B291" s="44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>
      <c r="A292" s="43"/>
      <c r="B292" s="44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>
      <c r="A293" s="43"/>
      <c r="B293" s="44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>
      <c r="A294" s="43"/>
      <c r="B294" s="44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>
      <c r="A295" s="43"/>
      <c r="B295" s="44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>
      <c r="A296" s="43"/>
      <c r="B296" s="44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>
      <c r="A297" s="43"/>
      <c r="B297" s="44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>
      <c r="A298" s="43"/>
      <c r="B298" s="44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>
      <c r="A299" s="43"/>
      <c r="B299" s="44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>
      <c r="A300" s="43"/>
      <c r="B300" s="44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>
      <c r="A301" s="45"/>
      <c r="B301" s="46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>
      <c r="A302" s="43"/>
      <c r="B302" s="44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>
      <c r="A303" s="43"/>
      <c r="B303" s="44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>
      <c r="A304" s="43"/>
      <c r="B304" s="44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>
      <c r="A305" s="45"/>
      <c r="B305" s="46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>
      <c r="A306" s="43"/>
      <c r="B306" s="44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>
      <c r="A307" s="43"/>
      <c r="B307" s="44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>
      <c r="A308" s="43"/>
      <c r="B308" s="44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>
      <c r="A309" s="45"/>
      <c r="B309" s="46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>
      <c r="A310" s="43"/>
      <c r="B310" s="44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>
      <c r="A311" s="43"/>
      <c r="B311" s="44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>
      <c r="A312" s="43"/>
      <c r="B312" s="44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>
      <c r="A313" s="43"/>
      <c r="B313" s="44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>
      <c r="A314" s="43"/>
      <c r="B314" s="44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>
      <c r="A315" s="43"/>
      <c r="B315" s="44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>
      <c r="A316" s="43"/>
      <c r="B316" s="44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>
      <c r="A317" s="43"/>
      <c r="B317" s="44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>
      <c r="A318" s="43"/>
      <c r="B318" s="44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>
      <c r="A319" s="43"/>
      <c r="B319" s="44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>
      <c r="A320" s="43"/>
      <c r="B320" s="44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>
      <c r="A321" s="45"/>
      <c r="B321" s="46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>
      <c r="A322" s="43"/>
      <c r="B322" s="44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>
      <c r="A323" s="43"/>
      <c r="B323" s="44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>
      <c r="A324" s="43"/>
      <c r="B324" s="44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>
      <c r="A325" s="45"/>
      <c r="B325" s="46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>
      <c r="A326" s="43"/>
      <c r="B326" s="44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>
      <c r="A327" s="43"/>
      <c r="B327" s="44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>
      <c r="A328" s="43"/>
      <c r="B328" s="44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>
      <c r="A329" s="43"/>
      <c r="B329" s="44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>
      <c r="A330" s="43"/>
      <c r="B330" s="44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>
      <c r="A331" s="43"/>
      <c r="B331" s="44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>
      <c r="A332" s="43"/>
      <c r="B332" s="44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>
      <c r="A333" s="43"/>
      <c r="B333" s="44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>
      <c r="A334" s="43"/>
      <c r="B334" s="44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>
      <c r="A335" s="43"/>
      <c r="B335" s="44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>
      <c r="A336" s="43"/>
      <c r="B336" s="44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>
      <c r="A337" s="43"/>
      <c r="B337" s="44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>
      <c r="A338" s="43"/>
      <c r="B338" s="44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>
      <c r="A339" s="43"/>
      <c r="B339" s="44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>
      <c r="A340" s="43"/>
      <c r="B340" s="44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>
      <c r="A341" s="43"/>
      <c r="B341" s="44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>
      <c r="A342" s="43"/>
      <c r="B342" s="44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>
      <c r="A343" s="43"/>
      <c r="B343" s="44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>
      <c r="A344" s="43"/>
      <c r="B344" s="44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>
      <c r="A345" s="43"/>
      <c r="B345" s="44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>
      <c r="A346" s="43"/>
      <c r="B346" s="44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>
      <c r="A347" s="43"/>
      <c r="B347" s="44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>
      <c r="A348" s="45"/>
      <c r="B348" s="46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>
      <c r="A349" s="43"/>
      <c r="B349" s="44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>
      <c r="A350" s="43"/>
      <c r="B350" s="44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>
      <c r="A351" s="43"/>
      <c r="B351" s="44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>
      <c r="A352" s="43"/>
      <c r="B352" s="44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>
      <c r="A353" s="43"/>
      <c r="B353" s="44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>
      <c r="A354" s="43"/>
      <c r="B354" s="44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>
      <c r="A355" s="43"/>
      <c r="B355" s="44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>
      <c r="A356" s="43"/>
      <c r="B356" s="44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>
      <c r="A357" s="43"/>
      <c r="B357" s="44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>
      <c r="A358" s="43"/>
      <c r="B358" s="44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>
      <c r="A359" s="43"/>
      <c r="B359" s="44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>
      <c r="A360" s="43"/>
      <c r="B360" s="44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>
      <c r="A361" s="43"/>
      <c r="B361" s="44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>
      <c r="A362" s="43"/>
      <c r="B362" s="44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>
      <c r="A363" s="43"/>
      <c r="B363" s="44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>
      <c r="A364" s="43"/>
      <c r="B364" s="44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>
      <c r="A365" s="43"/>
      <c r="B365" s="44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>
      <c r="A366" s="43"/>
      <c r="B366" s="44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>
      <c r="A367" s="43"/>
      <c r="B367" s="44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>
      <c r="A368" s="43"/>
      <c r="B368" s="44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>
      <c r="A369" s="45"/>
      <c r="B369" s="46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>
      <c r="A370" s="43"/>
      <c r="B370" s="44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>
      <c r="A371" s="43"/>
      <c r="B371" s="44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>
      <c r="A372" s="43"/>
      <c r="B372" s="44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>
      <c r="A373" s="43"/>
      <c r="B373" s="44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>
      <c r="A374" s="43"/>
      <c r="B374" s="44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>
      <c r="A375" s="43"/>
      <c r="B375" s="44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>
      <c r="A376" s="43"/>
      <c r="B376" s="44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>
      <c r="A377" s="43"/>
      <c r="B377" s="44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>
      <c r="A378" s="43"/>
      <c r="B378" s="44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>
      <c r="A379" s="43"/>
      <c r="B379" s="44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>
      <c r="A380" s="43"/>
      <c r="B380" s="44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>
      <c r="A381" s="43"/>
      <c r="B381" s="44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>
      <c r="A382" s="43"/>
      <c r="B382" s="44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>
      <c r="A383" s="43"/>
      <c r="B383" s="44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>
      <c r="A384" s="43"/>
      <c r="B384" s="44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>
      <c r="A385" s="43"/>
      <c r="B385" s="44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>
      <c r="A386" s="43"/>
      <c r="B386" s="44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>
      <c r="A387" s="43"/>
      <c r="B387" s="44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>
      <c r="A388" s="43"/>
      <c r="B388" s="44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>
      <c r="A389" s="43"/>
      <c r="B389" s="44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>
      <c r="A390" s="43"/>
      <c r="B390" s="44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>
      <c r="A391" s="43"/>
      <c r="B391" s="44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>
      <c r="A392" s="43"/>
      <c r="B392" s="44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>
      <c r="A393" s="43"/>
      <c r="B393" s="44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>
      <c r="A394" s="45"/>
      <c r="B394" s="46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>
      <c r="A395" s="43"/>
      <c r="B395" s="44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>
      <c r="A396" s="43"/>
      <c r="B396" s="44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>
      <c r="A397" s="43"/>
      <c r="B397" s="44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>
      <c r="A398" s="43"/>
      <c r="B398" s="44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>
      <c r="A399" s="43"/>
      <c r="B399" s="44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>
      <c r="A400" s="43"/>
      <c r="B400" s="44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>
      <c r="A401" s="43"/>
      <c r="B401" s="44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>
      <c r="A402" s="43"/>
      <c r="B402" s="44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>
      <c r="A403" s="43"/>
      <c r="B403" s="44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>
      <c r="A404" s="43"/>
      <c r="B404" s="44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>
      <c r="A405" s="43"/>
      <c r="B405" s="44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>
      <c r="A406" s="43"/>
      <c r="B406" s="44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>
      <c r="A407" s="43"/>
      <c r="B407" s="44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>
      <c r="A408" s="43"/>
      <c r="B408" s="44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>
      <c r="A409" s="43"/>
      <c r="B409" s="44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>
      <c r="A410" s="43"/>
      <c r="B410" s="44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>
      <c r="A411" s="43"/>
      <c r="B411" s="44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>
      <c r="A412" s="43"/>
      <c r="B412" s="44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>
      <c r="A413" s="43"/>
      <c r="B413" s="44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>
      <c r="A414" s="43"/>
      <c r="B414" s="44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>
      <c r="A415" s="43"/>
      <c r="B415" s="44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>
      <c r="A416" s="43"/>
      <c r="B416" s="44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>
      <c r="A417" s="43"/>
      <c r="B417" s="44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>
      <c r="A418" s="43"/>
      <c r="B418" s="44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>
      <c r="A419" s="43"/>
      <c r="B419" s="44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>
      <c r="A420" s="43"/>
      <c r="B420" s="44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>
      <c r="A421" s="43"/>
      <c r="B421" s="44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>
      <c r="A422" s="43"/>
      <c r="B422" s="44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>
      <c r="A423" s="45"/>
      <c r="B423" s="46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>
      <c r="A424" s="43"/>
      <c r="B424" s="44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>
      <c r="A425" s="43"/>
      <c r="B425" s="44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>
      <c r="A426" s="43"/>
      <c r="B426" s="44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>
      <c r="A427" s="43"/>
      <c r="B427" s="44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>
      <c r="A428" s="43"/>
      <c r="B428" s="44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>
      <c r="A429" s="43"/>
      <c r="B429" s="44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>
      <c r="A430" s="43"/>
      <c r="B430" s="44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>
      <c r="A431" s="43"/>
      <c r="B431" s="44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>
      <c r="A432" s="43"/>
      <c r="B432" s="44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>
      <c r="A433" s="43"/>
      <c r="B433" s="44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>
      <c r="A434" s="43"/>
      <c r="B434" s="44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>
      <c r="A435" s="43"/>
      <c r="B435" s="44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>
      <c r="A436" s="43"/>
      <c r="B436" s="44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>
      <c r="A437" s="43"/>
      <c r="B437" s="44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>
      <c r="A438" s="43"/>
      <c r="B438" s="44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>
      <c r="A439" s="43"/>
      <c r="B439" s="44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>
      <c r="A440" s="43"/>
      <c r="B440" s="44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>
      <c r="A441" s="43"/>
      <c r="B441" s="44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>
      <c r="A442" s="43"/>
      <c r="B442" s="44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>
      <c r="A443" s="43"/>
      <c r="B443" s="44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>
      <c r="A444" s="43"/>
      <c r="B444" s="44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>
      <c r="A445" s="43"/>
      <c r="B445" s="44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>
      <c r="A446" s="43"/>
      <c r="B446" s="44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>
      <c r="A447" s="43"/>
      <c r="B447" s="44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>
      <c r="A448" s="43"/>
      <c r="B448" s="44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>
      <c r="A449" s="45"/>
      <c r="B449" s="46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>
      <c r="A450" s="43"/>
      <c r="B450" s="44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>
      <c r="A451" s="43"/>
      <c r="B451" s="44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>
      <c r="A452" s="43"/>
      <c r="B452" s="44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>
      <c r="A453" s="43"/>
      <c r="B453" s="44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>
      <c r="A454" s="43"/>
      <c r="B454" s="44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>
      <c r="A455" s="43"/>
      <c r="B455" s="44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>
      <c r="A456" s="43"/>
      <c r="B456" s="44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>
      <c r="A457" s="43"/>
      <c r="B457" s="44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>
      <c r="A458" s="43"/>
      <c r="B458" s="44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>
      <c r="A459" s="43"/>
      <c r="B459" s="44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>
      <c r="A460" s="43"/>
      <c r="B460" s="44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>
      <c r="A461" s="43"/>
      <c r="B461" s="44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>
      <c r="A462" s="43"/>
      <c r="B462" s="44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>
      <c r="A463" s="43"/>
      <c r="B463" s="44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>
      <c r="A464" s="43"/>
      <c r="B464" s="44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>
      <c r="A465" s="43"/>
      <c r="B465" s="44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>
      <c r="A466" s="43"/>
      <c r="B466" s="44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>
      <c r="A467" s="45"/>
      <c r="B467" s="46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>
      <c r="A468" s="43"/>
      <c r="B468" s="44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>
      <c r="A469" s="43"/>
      <c r="B469" s="44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>
      <c r="A470" s="43"/>
      <c r="B470" s="44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>
      <c r="A471" s="43"/>
      <c r="B471" s="44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>
      <c r="A472" s="43"/>
      <c r="B472" s="44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>
      <c r="A473" s="43"/>
      <c r="B473" s="44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>
      <c r="A474" s="43"/>
      <c r="B474" s="44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>
      <c r="A475" s="43"/>
      <c r="B475" s="44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>
      <c r="A476" s="43"/>
      <c r="B476" s="44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>
      <c r="A477" s="43"/>
      <c r="B477" s="44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>
      <c r="A478" s="43"/>
      <c r="B478" s="44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>
      <c r="A479" s="43"/>
      <c r="B479" s="44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>
      <c r="A480" s="43"/>
      <c r="B480" s="44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>
      <c r="A481" s="43"/>
      <c r="B481" s="44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>
      <c r="A482" s="43"/>
      <c r="B482" s="44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>
      <c r="A483" s="45"/>
      <c r="B483" s="46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>
      <c r="A484" s="43"/>
      <c r="B484" s="44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>
      <c r="A485" s="43"/>
      <c r="B485" s="44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>
      <c r="A486" s="43"/>
      <c r="B486" s="44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>
      <c r="A487" s="43"/>
      <c r="B487" s="44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>
      <c r="A488" s="43"/>
      <c r="B488" s="44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>
      <c r="A489" s="43"/>
      <c r="B489" s="44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>
      <c r="A490" s="43"/>
      <c r="B490" s="44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>
      <c r="A491" s="43"/>
      <c r="B491" s="44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>
      <c r="A492" s="43"/>
      <c r="B492" s="44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>
      <c r="A493" s="43"/>
      <c r="B493" s="44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>
      <c r="A494" s="43"/>
      <c r="B494" s="44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>
      <c r="A495" s="43"/>
      <c r="B495" s="44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>
      <c r="A496" s="43"/>
      <c r="B496" s="44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>
      <c r="A497" s="43"/>
      <c r="B497" s="44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>
      <c r="A498" s="43"/>
      <c r="B498" s="44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>
      <c r="A499" s="43"/>
      <c r="B499" s="44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>
      <c r="A500" s="43"/>
      <c r="B500" s="44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>
      <c r="A501" s="45"/>
      <c r="B501" s="46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>
      <c r="A502" s="43"/>
      <c r="B502" s="44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>
      <c r="A503" s="43"/>
      <c r="B503" s="44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>
      <c r="A504" s="43"/>
      <c r="B504" s="44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>
      <c r="A505" s="43"/>
      <c r="B505" s="44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>
      <c r="A506" s="43"/>
      <c r="B506" s="44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>
      <c r="A507" s="43"/>
      <c r="B507" s="44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>
      <c r="A508" s="43"/>
      <c r="B508" s="44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>
      <c r="A509" s="43"/>
      <c r="B509" s="44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>
      <c r="A510" s="43"/>
      <c r="B510" s="44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>
      <c r="A511" s="43"/>
      <c r="B511" s="44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>
      <c r="A512" s="43"/>
      <c r="B512" s="44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>
      <c r="A513" s="43"/>
      <c r="B513" s="44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>
      <c r="A514" s="43"/>
      <c r="B514" s="44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>
      <c r="A515" s="43"/>
      <c r="B515" s="44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>
      <c r="A516" s="43"/>
      <c r="B516" s="44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>
      <c r="A517" s="43"/>
      <c r="B517" s="44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>
      <c r="A518" s="43"/>
      <c r="B518" s="44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>
      <c r="A519" s="43"/>
      <c r="B519" s="44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>
      <c r="A520" s="43"/>
      <c r="B520" s="44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>
      <c r="A521" s="43"/>
      <c r="B521" s="44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>
      <c r="A522" s="43"/>
      <c r="B522" s="44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>
      <c r="A523" s="43"/>
      <c r="B523" s="44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>
      <c r="A524" s="45"/>
      <c r="B524" s="46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>
      <c r="A525" s="43"/>
      <c r="B525" s="44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>
      <c r="A526" s="43"/>
      <c r="B526" s="44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>
      <c r="A527" s="43"/>
      <c r="B527" s="44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>
      <c r="A528" s="43"/>
      <c r="B528" s="44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>
      <c r="A529" s="43"/>
      <c r="B529" s="44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>
      <c r="A530" s="43"/>
      <c r="B530" s="44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>
      <c r="A531" s="43"/>
      <c r="B531" s="44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>
      <c r="A532" s="43"/>
      <c r="B532" s="44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>
      <c r="A533" s="43"/>
      <c r="B533" s="44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>
      <c r="A534" s="43"/>
      <c r="B534" s="44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>
      <c r="A535" s="43"/>
      <c r="B535" s="44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>
      <c r="A536" s="43"/>
      <c r="B536" s="44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>
      <c r="A537" s="43"/>
      <c r="B537" s="44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>
      <c r="A538" s="43"/>
      <c r="B538" s="44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>
      <c r="A539" s="43"/>
      <c r="B539" s="44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>
      <c r="A540" s="43"/>
      <c r="B540" s="44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>
      <c r="A541" s="43"/>
      <c r="B541" s="44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>
      <c r="A542" s="43"/>
      <c r="B542" s="44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>
      <c r="A543" s="43"/>
      <c r="B543" s="44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>
      <c r="A544" s="43"/>
      <c r="B544" s="44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>
      <c r="A545" s="43"/>
      <c r="B545" s="44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>
      <c r="A546" s="43"/>
      <c r="B546" s="44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>
      <c r="A547" s="43"/>
      <c r="B547" s="44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>
      <c r="A548" s="43"/>
      <c r="B548" s="44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>
      <c r="A549" s="43"/>
      <c r="B549" s="44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>
      <c r="A550" s="43"/>
      <c r="B550" s="44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>
      <c r="A551" s="43"/>
      <c r="B551" s="44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>
      <c r="A552" s="43"/>
      <c r="B552" s="44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>
      <c r="A553" s="43"/>
      <c r="B553" s="44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>
      <c r="A554" s="45"/>
      <c r="B554" s="46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>
      <c r="A555" s="43"/>
      <c r="B555" s="44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>
      <c r="A556" s="43"/>
      <c r="B556" s="44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>
      <c r="A557" s="43"/>
      <c r="B557" s="44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>
      <c r="A558" s="43"/>
      <c r="B558" s="44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>
      <c r="A559" s="43"/>
      <c r="B559" s="44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>
      <c r="A560" s="43"/>
      <c r="B560" s="44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>
      <c r="A561" s="43"/>
      <c r="B561" s="44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>
      <c r="A562" s="43"/>
      <c r="B562" s="44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>
      <c r="A563" s="43"/>
      <c r="B563" s="44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>
      <c r="A564" s="43"/>
      <c r="B564" s="44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>
      <c r="A565" s="43"/>
      <c r="B565" s="44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>
      <c r="A566" s="43"/>
      <c r="B566" s="44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>
      <c r="A567" s="43"/>
      <c r="B567" s="44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>
      <c r="A568" s="43"/>
      <c r="B568" s="44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>
      <c r="A569" s="43"/>
      <c r="B569" s="44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>
      <c r="A570" s="43"/>
      <c r="B570" s="44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>
      <c r="A571" s="43"/>
      <c r="B571" s="44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>
      <c r="A572" s="43"/>
      <c r="B572" s="44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>
      <c r="A573" s="43"/>
      <c r="B573" s="44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>
      <c r="A574" s="43"/>
      <c r="B574" s="44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>
      <c r="A575" s="43"/>
      <c r="B575" s="44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>
      <c r="A576" s="43"/>
      <c r="B576" s="44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>
      <c r="A577" s="43"/>
      <c r="B577" s="44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>
      <c r="A578" s="43"/>
      <c r="B578" s="44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>
      <c r="A579" s="43"/>
      <c r="B579" s="44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>
      <c r="A580" s="45"/>
      <c r="B580" s="46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>
      <c r="A581" s="43"/>
      <c r="B581" s="44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>
      <c r="A582" s="43"/>
      <c r="B582" s="44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>
      <c r="A583" s="43"/>
      <c r="B583" s="44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>
      <c r="A584" s="43"/>
      <c r="B584" s="44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>
      <c r="A585" s="45"/>
      <c r="B585" s="46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>
      <c r="A586" s="43"/>
      <c r="B586" s="44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>
      <c r="A587" s="43"/>
      <c r="B587" s="44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>
      <c r="A588" s="43"/>
      <c r="B588" s="44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>
      <c r="A589" s="43"/>
      <c r="B589" s="44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>
      <c r="A590" s="43"/>
      <c r="B590" s="44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>
      <c r="A591" s="43"/>
      <c r="B591" s="44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>
      <c r="A592" s="43"/>
      <c r="B592" s="44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>
      <c r="A593" s="43"/>
      <c r="B593" s="44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>
      <c r="A594" s="43"/>
      <c r="B594" s="44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>
      <c r="A595" s="43"/>
      <c r="B595" s="44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>
      <c r="A596" s="43"/>
      <c r="B596" s="44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>
      <c r="A597" s="43"/>
      <c r="B597" s="44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>
      <c r="A598" s="43"/>
      <c r="B598" s="44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>
      <c r="A599" s="43"/>
      <c r="B599" s="44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>
      <c r="A600" s="43"/>
      <c r="B600" s="44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>
      <c r="A601" s="43"/>
      <c r="B601" s="44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>
      <c r="A602" s="43"/>
      <c r="B602" s="44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>
      <c r="A603" s="43"/>
      <c r="B603" s="44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>
      <c r="A604" s="43"/>
      <c r="B604" s="44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>
      <c r="A605" s="43"/>
      <c r="B605" s="44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>
      <c r="A606" s="43"/>
      <c r="B606" s="44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>
      <c r="A607" s="43"/>
      <c r="B607" s="44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>
      <c r="A608" s="43"/>
      <c r="B608" s="44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>
      <c r="A609" s="45"/>
      <c r="B609" s="46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>
      <c r="A610" s="43"/>
      <c r="B610" s="44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>
      <c r="A611" s="43"/>
      <c r="B611" s="44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>
      <c r="A612" s="43"/>
      <c r="B612" s="44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>
      <c r="A613" s="43"/>
      <c r="B613" s="44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>
      <c r="A614" s="43"/>
      <c r="B614" s="44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>
      <c r="A615" s="43"/>
      <c r="B615" s="44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>
      <c r="A616" s="43"/>
      <c r="B616" s="44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>
      <c r="A617" s="43"/>
      <c r="B617" s="44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>
      <c r="A618" s="43"/>
      <c r="B618" s="44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>
      <c r="A619" s="43"/>
      <c r="B619" s="44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>
      <c r="A620" s="45"/>
      <c r="B620" s="46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>
      <c r="A621" s="43"/>
      <c r="B621" s="44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>
      <c r="A622" s="43"/>
      <c r="B622" s="44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>
      <c r="A623" s="43"/>
      <c r="B623" s="44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>
      <c r="A624" s="43"/>
      <c r="B624" s="44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>
      <c r="A625" s="43"/>
      <c r="B625" s="44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>
      <c r="A626" s="43"/>
      <c r="B626" s="44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>
      <c r="A627" s="45"/>
      <c r="B627" s="46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>
      <c r="A628" s="43"/>
      <c r="B628" s="44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>
      <c r="A629" s="43"/>
      <c r="B629" s="44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>
      <c r="A630" s="43"/>
      <c r="B630" s="44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>
      <c r="A631" s="43"/>
      <c r="B631" s="44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>
      <c r="A632" s="43"/>
      <c r="B632" s="44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>
      <c r="A633" s="43"/>
      <c r="B633" s="44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>
      <c r="A634" s="43"/>
      <c r="B634" s="44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>
      <c r="A635" s="43"/>
      <c r="B635" s="44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>
      <c r="A636" s="43"/>
      <c r="B636" s="44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>
      <c r="A637" s="43"/>
      <c r="B637" s="44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>
      <c r="A638" s="45"/>
      <c r="B638" s="46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>
      <c r="A639" s="43"/>
      <c r="B639" s="44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>
      <c r="A640" s="43"/>
      <c r="B640" s="44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>
      <c r="A641" s="43"/>
      <c r="B641" s="44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>
      <c r="A642" s="43"/>
      <c r="B642" s="44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>
      <c r="A643" s="43"/>
      <c r="B643" s="44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>
      <c r="A644" s="43"/>
      <c r="B644" s="44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>
      <c r="A645" s="43"/>
      <c r="B645" s="44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>
      <c r="A646" s="43"/>
      <c r="B646" s="44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>
      <c r="A647" s="43"/>
      <c r="B647" s="44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>
      <c r="A648" s="43"/>
      <c r="B648" s="44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>
      <c r="A649" s="43"/>
      <c r="B649" s="44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>
      <c r="A650" s="43"/>
      <c r="B650" s="44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>
      <c r="A651" s="43"/>
      <c r="B651" s="44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>
      <c r="A652" s="43"/>
      <c r="B652" s="44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>
      <c r="A653" s="43"/>
      <c r="B653" s="44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>
      <c r="A654" s="43"/>
      <c r="B654" s="44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>
      <c r="A655" s="43"/>
      <c r="B655" s="44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>
      <c r="A656" s="43"/>
      <c r="B656" s="44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>
      <c r="A657" s="43"/>
      <c r="B657" s="44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>
      <c r="A658" s="43"/>
      <c r="B658" s="44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>
      <c r="A659" s="45"/>
      <c r="B659" s="46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>
      <c r="A660" s="43"/>
      <c r="B660" s="44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>
      <c r="A661" s="43"/>
      <c r="B661" s="44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>
      <c r="A662" s="43"/>
      <c r="B662" s="44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>
      <c r="A663" s="43"/>
      <c r="B663" s="44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>
      <c r="A664" s="43"/>
      <c r="B664" s="44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>
      <c r="A665" s="43"/>
      <c r="B665" s="44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>
      <c r="A666" s="43"/>
      <c r="B666" s="44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>
      <c r="A667" s="43"/>
      <c r="B667" s="44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>
      <c r="A668" s="43"/>
      <c r="B668" s="44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>
      <c r="A669" s="43"/>
      <c r="B669" s="44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>
      <c r="A670" s="43"/>
      <c r="B670" s="44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>
      <c r="A671" s="43"/>
      <c r="B671" s="44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>
      <c r="A672" s="43"/>
      <c r="B672" s="44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>
      <c r="A673" s="43"/>
      <c r="B673" s="44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>
      <c r="A674" s="45"/>
      <c r="B674" s="46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>
      <c r="A675" s="43"/>
      <c r="B675" s="44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>
      <c r="A676" s="43"/>
      <c r="B676" s="44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>
      <c r="A677" s="43"/>
      <c r="B677" s="44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>
      <c r="A678" s="43"/>
      <c r="B678" s="44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>
      <c r="A679" s="43"/>
      <c r="B679" s="44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>
      <c r="A680" s="43"/>
      <c r="B680" s="44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>
      <c r="A681" s="43"/>
      <c r="B681" s="44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>
      <c r="A682" s="43"/>
      <c r="B682" s="44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>
      <c r="A683" s="43"/>
      <c r="B683" s="44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>
      <c r="A684" s="43"/>
      <c r="B684" s="44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>
      <c r="A685" s="43"/>
      <c r="B685" s="44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>
      <c r="A686" s="43"/>
      <c r="B686" s="44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>
      <c r="A687" s="43"/>
      <c r="B687" s="44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>
      <c r="A688" s="43"/>
      <c r="B688" s="44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>
      <c r="A689" s="43"/>
      <c r="B689" s="44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>
      <c r="A690" s="43"/>
      <c r="B690" s="44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>
      <c r="A691" s="43"/>
      <c r="B691" s="44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>
      <c r="A692" s="43"/>
      <c r="B692" s="44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>
      <c r="A693" s="43"/>
      <c r="B693" s="44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>
      <c r="A694" s="43"/>
      <c r="B694" s="44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>
      <c r="A695" s="43"/>
      <c r="B695" s="44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>
      <c r="A696" s="43"/>
      <c r="B696" s="44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>
      <c r="A697" s="45"/>
      <c r="B697" s="46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>
      <c r="A698" s="43"/>
      <c r="B698" s="44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>
      <c r="A699" s="43"/>
      <c r="B699" s="44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>
      <c r="A700" s="43"/>
      <c r="B700" s="44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>
      <c r="A701" s="43"/>
      <c r="B701" s="44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>
      <c r="A702" s="43"/>
      <c r="B702" s="44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>
      <c r="A703" s="43"/>
      <c r="B703" s="44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>
      <c r="A704" s="43"/>
      <c r="B704" s="44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>
      <c r="A705" s="43"/>
      <c r="B705" s="44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>
      <c r="A706" s="43"/>
      <c r="B706" s="44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>
      <c r="A707" s="43"/>
      <c r="B707" s="44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>
      <c r="A708" s="43"/>
      <c r="B708" s="44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>
      <c r="A709" s="43"/>
      <c r="B709" s="44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>
      <c r="A710" s="43"/>
      <c r="B710" s="44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>
      <c r="A711" s="43"/>
      <c r="B711" s="44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>
      <c r="A712" s="43"/>
      <c r="B712" s="44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>
      <c r="A713" s="45"/>
      <c r="B713" s="46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>
      <c r="A714" s="43"/>
      <c r="B714" s="44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>
      <c r="A715" s="43"/>
      <c r="B715" s="44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>
      <c r="A716" s="43"/>
      <c r="B716" s="44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>
      <c r="A717" s="43"/>
      <c r="B717" s="44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>
      <c r="A718" s="43"/>
      <c r="B718" s="44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>
      <c r="A719" s="43"/>
      <c r="B719" s="44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>
      <c r="A720" s="43"/>
      <c r="B720" s="44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>
      <c r="A721" s="43"/>
      <c r="B721" s="44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>
      <c r="A722" s="43"/>
      <c r="B722" s="44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>
      <c r="A723" s="43"/>
      <c r="B723" s="44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>
      <c r="A724" s="45"/>
      <c r="B724" s="46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>
      <c r="A725" s="43"/>
      <c r="B725" s="44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>
      <c r="A726" s="43"/>
      <c r="B726" s="44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>
      <c r="A727" s="45"/>
      <c r="B727" s="46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>
      <c r="A728" s="43"/>
      <c r="B728" s="44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>
      <c r="A729" s="43"/>
      <c r="B729" s="44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>
      <c r="A730" s="43"/>
      <c r="B730" s="44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>
      <c r="A731" s="43"/>
      <c r="B731" s="44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>
      <c r="A732" s="43"/>
      <c r="B732" s="44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>
      <c r="A733" s="43"/>
      <c r="B733" s="44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>
      <c r="A734" s="43"/>
      <c r="B734" s="44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>
      <c r="A735" s="43"/>
      <c r="B735" s="44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>
      <c r="A736" s="43"/>
      <c r="B736" s="44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>
      <c r="A737" s="43"/>
      <c r="B737" s="44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>
      <c r="A738" s="43"/>
      <c r="B738" s="44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>
      <c r="A739" s="43"/>
      <c r="B739" s="44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>
      <c r="A740" s="43"/>
      <c r="B740" s="44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>
      <c r="A741" s="43"/>
      <c r="B741" s="44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>
      <c r="A742" s="43"/>
      <c r="B742" s="44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>
      <c r="A743" s="45"/>
      <c r="B743" s="46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>
      <c r="A744" s="43"/>
      <c r="B744" s="44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>
      <c r="A745" s="43"/>
      <c r="B745" s="44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>
      <c r="A746" s="45"/>
      <c r="B746" s="46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>
      <c r="A747" s="43"/>
      <c r="B747" s="44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>
      <c r="A748" s="43"/>
      <c r="B748" s="44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>
      <c r="A749" s="43"/>
      <c r="B749" s="44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>
      <c r="A750" s="45"/>
      <c r="B750" s="46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>
      <c r="A751" s="43"/>
      <c r="B751" s="44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>
      <c r="A752" s="43"/>
      <c r="B752" s="44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>
      <c r="A753" s="43"/>
      <c r="B753" s="44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>
      <c r="A754" s="43"/>
      <c r="B754" s="44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>
      <c r="A755" s="43"/>
      <c r="B755" s="44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>
      <c r="A756" s="43"/>
      <c r="B756" s="44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>
      <c r="A757" s="43"/>
      <c r="B757" s="44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>
      <c r="A758" s="43"/>
      <c r="B758" s="44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>
      <c r="A759" s="43"/>
      <c r="B759" s="44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>
      <c r="A760" s="43"/>
      <c r="B760" s="44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>
      <c r="A761" s="43"/>
      <c r="B761" s="44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>
      <c r="A762" s="43"/>
      <c r="B762" s="44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>
      <c r="A763" s="43"/>
      <c r="B763" s="44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>
      <c r="A764" s="43"/>
      <c r="B764" s="44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>
      <c r="A765" s="43"/>
      <c r="B765" s="44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>
      <c r="A766" s="43"/>
      <c r="B766" s="44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>
      <c r="A767" s="43"/>
      <c r="B767" s="44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>
      <c r="A768" s="43"/>
      <c r="B768" s="44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>
      <c r="A769" s="43"/>
      <c r="B769" s="44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>
      <c r="A770" s="43"/>
      <c r="B770" s="44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>
      <c r="A771" s="43"/>
      <c r="B771" s="44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>
      <c r="A772" s="45"/>
      <c r="B772" s="46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>
      <c r="A773" s="43"/>
      <c r="B773" s="44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>
      <c r="A774" s="43"/>
      <c r="B774" s="44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>
      <c r="A775" s="45"/>
      <c r="B775" s="46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>
      <c r="A776" s="43"/>
      <c r="B776" s="44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>
      <c r="A777" s="43"/>
      <c r="B777" s="44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>
      <c r="A778" s="43"/>
      <c r="B778" s="44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>
      <c r="A779" s="43"/>
      <c r="B779" s="44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>
      <c r="A780" s="43"/>
      <c r="B780" s="44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>
      <c r="A781" s="43"/>
      <c r="B781" s="44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>
      <c r="A782" s="43"/>
      <c r="B782" s="44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>
      <c r="A783" s="43"/>
      <c r="B783" s="44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>
      <c r="A784" s="43"/>
      <c r="B784" s="44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>
      <c r="A785" s="43"/>
      <c r="B785" s="44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>
      <c r="A786" s="43"/>
      <c r="B786" s="44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>
      <c r="A787" s="43"/>
      <c r="B787" s="44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>
      <c r="A788" s="43"/>
      <c r="B788" s="44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>
      <c r="A789" s="43"/>
      <c r="B789" s="44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>
      <c r="A790" s="43"/>
      <c r="B790" s="44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>
      <c r="A791" s="45"/>
      <c r="B791" s="46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>
      <c r="A792" s="43"/>
      <c r="B792" s="44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>
      <c r="A793" s="43"/>
      <c r="B793" s="44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>
      <c r="A794" s="43"/>
      <c r="B794" s="44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>
      <c r="A795" s="43"/>
      <c r="B795" s="44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>
      <c r="A796" s="43"/>
      <c r="B796" s="44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>
      <c r="A797" s="43"/>
      <c r="B797" s="44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>
      <c r="A798" s="45"/>
      <c r="B798" s="46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>
      <c r="A799" s="43"/>
      <c r="B799" s="44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>
      <c r="A800" s="43"/>
      <c r="B800" s="44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>
      <c r="A801" s="43"/>
      <c r="B801" s="44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>
      <c r="A802" s="45"/>
      <c r="B802" s="46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>
      <c r="A803" s="43"/>
      <c r="B803" s="44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>
      <c r="A804" s="43"/>
      <c r="B804" s="44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>
      <c r="A805" s="43"/>
      <c r="B805" s="44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>
      <c r="A806" s="43"/>
      <c r="B806" s="44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>
      <c r="A807" s="43"/>
      <c r="B807" s="44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>
      <c r="A808" s="43"/>
      <c r="B808" s="44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>
      <c r="A809" s="43"/>
      <c r="B809" s="44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>
      <c r="A810" s="43"/>
      <c r="B810" s="44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>
      <c r="A811" s="43"/>
      <c r="B811" s="44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>
      <c r="A812" s="43"/>
      <c r="B812" s="44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>
      <c r="A813" s="43"/>
      <c r="B813" s="44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>
      <c r="A814" s="43"/>
      <c r="B814" s="44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>
      <c r="A815" s="43"/>
      <c r="B815" s="44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>
      <c r="A816" s="43"/>
      <c r="B816" s="44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>
      <c r="A817" s="45"/>
      <c r="B817" s="46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>
      <c r="A818" s="43"/>
      <c r="B818" s="44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>
      <c r="A819" s="43"/>
      <c r="B819" s="44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>
      <c r="A820" s="43"/>
      <c r="B820" s="44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>
      <c r="A821" s="43"/>
      <c r="B821" s="44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>
      <c r="A822" s="43"/>
      <c r="B822" s="44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>
      <c r="A823" s="43"/>
      <c r="B823" s="44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>
      <c r="A824" s="43"/>
      <c r="B824" s="44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>
      <c r="A825" s="43"/>
      <c r="B825" s="44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>
      <c r="A826" s="43"/>
      <c r="B826" s="44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>
      <c r="A827" s="43"/>
      <c r="B827" s="44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>
      <c r="A828" s="45"/>
      <c r="B828" s="46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>
      <c r="A829" s="43"/>
      <c r="B829" s="44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>
      <c r="A830" s="43"/>
      <c r="B830" s="44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>
      <c r="A831" s="43"/>
      <c r="B831" s="44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>
      <c r="A832" s="43"/>
      <c r="B832" s="44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>
      <c r="A833" s="43"/>
      <c r="B833" s="44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>
      <c r="A834" s="43"/>
      <c r="B834" s="44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>
      <c r="A835" s="43"/>
      <c r="B835" s="44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>
      <c r="A836" s="43"/>
      <c r="B836" s="44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>
      <c r="A837" s="43"/>
      <c r="B837" s="44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>
      <c r="A838" s="45"/>
      <c r="B838" s="46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>
      <c r="A839" s="43"/>
      <c r="B839" s="44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>
      <c r="A840" s="43"/>
      <c r="B840" s="44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>
      <c r="A841" s="43"/>
      <c r="B841" s="44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>
      <c r="A842" s="43"/>
      <c r="B842" s="44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>
      <c r="A843" s="43"/>
      <c r="B843" s="44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>
      <c r="A844" s="43"/>
      <c r="B844" s="44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>
      <c r="A845" s="43"/>
      <c r="B845" s="44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>
      <c r="A846" s="43"/>
      <c r="B846" s="44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>
      <c r="A847" s="43"/>
      <c r="B847" s="44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>
      <c r="A848" s="43"/>
      <c r="B848" s="44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>
      <c r="A849" s="43"/>
      <c r="B849" s="44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>
      <c r="A850" s="43"/>
      <c r="B850" s="44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>
      <c r="A851" s="43"/>
      <c r="B851" s="44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>
      <c r="A852" s="43"/>
      <c r="B852" s="44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>
      <c r="A853" s="43"/>
      <c r="B853" s="44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>
      <c r="A854" s="43"/>
      <c r="B854" s="44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>
      <c r="A855" s="43"/>
      <c r="B855" s="44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>
      <c r="A856" s="43"/>
      <c r="B856" s="44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>
      <c r="A857" s="43"/>
      <c r="B857" s="44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>
      <c r="A858" s="43"/>
      <c r="B858" s="44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>
      <c r="A859" s="43"/>
      <c r="B859" s="44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>
      <c r="A860" s="43"/>
      <c r="B860" s="44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>
      <c r="A861" s="43"/>
      <c r="B861" s="44"/>
    </row>
    <row r="862" spans="1:13">
      <c r="A862" s="45"/>
      <c r="B862" s="46"/>
    </row>
    <row r="863" spans="1:13">
      <c r="A863" s="43"/>
      <c r="B863" s="44"/>
    </row>
    <row r="864" spans="1:13">
      <c r="A864" s="43"/>
      <c r="B864" s="44"/>
    </row>
    <row r="865" spans="1:2">
      <c r="A865" s="43"/>
      <c r="B865" s="44"/>
    </row>
    <row r="866" spans="1:2">
      <c r="A866" s="43"/>
      <c r="B866" s="44"/>
    </row>
    <row r="867" spans="1:2">
      <c r="A867" s="43"/>
      <c r="B867" s="44"/>
    </row>
    <row r="868" spans="1:2">
      <c r="A868" s="43"/>
      <c r="B868" s="44"/>
    </row>
    <row r="869" spans="1:2">
      <c r="A869" s="43"/>
      <c r="B869" s="44"/>
    </row>
    <row r="870" spans="1:2">
      <c r="A870" s="43"/>
      <c r="B870" s="44"/>
    </row>
    <row r="871" spans="1:2">
      <c r="A871" s="43"/>
      <c r="B871" s="44"/>
    </row>
    <row r="872" spans="1:2">
      <c r="A872" s="43"/>
      <c r="B872" s="44"/>
    </row>
    <row r="873" spans="1:2">
      <c r="A873" s="43"/>
      <c r="B873" s="44"/>
    </row>
    <row r="874" spans="1:2">
      <c r="A874" s="43"/>
      <c r="B874" s="44"/>
    </row>
    <row r="875" spans="1:2">
      <c r="A875" s="43"/>
      <c r="B875" s="44"/>
    </row>
    <row r="876" spans="1:2">
      <c r="A876" s="43"/>
      <c r="B876" s="44"/>
    </row>
    <row r="877" spans="1:2">
      <c r="A877" s="43"/>
      <c r="B877" s="44"/>
    </row>
    <row r="878" spans="1:2">
      <c r="A878" s="43"/>
      <c r="B878" s="44"/>
    </row>
    <row r="879" spans="1:2">
      <c r="A879" s="43"/>
      <c r="B879" s="44"/>
    </row>
    <row r="880" spans="1:2">
      <c r="A880" s="43"/>
      <c r="B880" s="44"/>
    </row>
  </sheetData>
  <sheetProtection formatCells="0" formatColumns="0" formatRows="0" insertRows="0" insertColumns="0" insertHyperlinks="0" deleteColumns="0" deleteRows="0" sort="0" autoFilter="0" pivotTables="0"/>
  <mergeCells count="4">
    <mergeCell ref="A2:A3"/>
    <mergeCell ref="B2:B3"/>
    <mergeCell ref="R1:R3"/>
    <mergeCell ref="S1:S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A1" sqref="A1"/>
    </sheetView>
  </sheetViews>
  <sheetFormatPr defaultColWidth="11.3333333333333" defaultRowHeight="19.5" outlineLevelCol="3"/>
  <cols>
    <col min="1" max="16384" width="11.3333333333333" style="1"/>
  </cols>
  <sheetData>
    <row r="1" ht="69" spans="1:4">
      <c r="A1" s="6" t="s">
        <v>774</v>
      </c>
      <c r="B1" s="7" t="s">
        <v>775</v>
      </c>
      <c r="C1" s="8" t="s">
        <v>776</v>
      </c>
      <c r="D1" s="9" t="s">
        <v>777</v>
      </c>
    </row>
    <row r="2" spans="1:4">
      <c r="A2" s="7">
        <v>0</v>
      </c>
      <c r="B2" s="7" t="s">
        <v>778</v>
      </c>
      <c r="C2" s="10">
        <v>52.4</v>
      </c>
      <c r="D2" s="10">
        <v>65.5</v>
      </c>
    </row>
    <row r="3" spans="1:4">
      <c r="A3" s="7">
        <v>0.3</v>
      </c>
      <c r="B3" s="7" t="s">
        <v>779</v>
      </c>
      <c r="C3" s="10">
        <v>56</v>
      </c>
      <c r="D3" s="10">
        <v>70</v>
      </c>
    </row>
    <row r="4" spans="1:4">
      <c r="A4" s="7">
        <v>0.5</v>
      </c>
      <c r="B4" s="7" t="s">
        <v>780</v>
      </c>
      <c r="C4" s="10">
        <v>59.6</v>
      </c>
      <c r="D4" s="10">
        <v>74.5</v>
      </c>
    </row>
    <row r="5" spans="1:4">
      <c r="A5" s="7">
        <v>1</v>
      </c>
      <c r="B5" s="7" t="s">
        <v>781</v>
      </c>
      <c r="C5" s="10">
        <v>67.6</v>
      </c>
      <c r="D5" s="10">
        <v>84.5</v>
      </c>
    </row>
    <row r="6" spans="1:4">
      <c r="A6" s="7">
        <v>2</v>
      </c>
      <c r="B6" s="7" t="s">
        <v>782</v>
      </c>
      <c r="C6" s="10">
        <v>76</v>
      </c>
      <c r="D6" s="10">
        <v>95</v>
      </c>
    </row>
    <row r="7" spans="1:4">
      <c r="A7" s="7">
        <v>3</v>
      </c>
      <c r="B7" s="7" t="s">
        <v>783</v>
      </c>
      <c r="C7" s="10">
        <v>82.4</v>
      </c>
      <c r="D7" s="10">
        <v>103</v>
      </c>
    </row>
    <row r="8" spans="1:4">
      <c r="A8" s="7">
        <v>4</v>
      </c>
      <c r="B8" s="7" t="s">
        <v>784</v>
      </c>
      <c r="C8" s="10">
        <v>88</v>
      </c>
      <c r="D8" s="10">
        <v>110</v>
      </c>
    </row>
    <row r="9" spans="1:4">
      <c r="A9" s="7">
        <v>5</v>
      </c>
      <c r="B9" s="7" t="s">
        <v>785</v>
      </c>
      <c r="C9" s="10">
        <v>98</v>
      </c>
      <c r="D9" s="10">
        <v>122.5</v>
      </c>
    </row>
    <row r="10" spans="1:4">
      <c r="A10" s="7">
        <v>7</v>
      </c>
      <c r="B10" s="7" t="s">
        <v>786</v>
      </c>
      <c r="C10" s="10">
        <v>111.6</v>
      </c>
      <c r="D10" s="10">
        <v>139.5</v>
      </c>
    </row>
    <row r="11" spans="1:4">
      <c r="A11" s="7">
        <v>9</v>
      </c>
      <c r="B11" s="7" t="s">
        <v>787</v>
      </c>
      <c r="C11" s="10">
        <v>129.2</v>
      </c>
      <c r="D11" s="10">
        <v>161.5</v>
      </c>
    </row>
    <row r="12" spans="1:4">
      <c r="A12" s="7">
        <v>12</v>
      </c>
      <c r="B12" s="7" t="s">
        <v>788</v>
      </c>
      <c r="C12" s="10">
        <v>152</v>
      </c>
      <c r="D12" s="10">
        <v>190</v>
      </c>
    </row>
    <row r="13" spans="1:4">
      <c r="A13" s="7">
        <v>15</v>
      </c>
      <c r="B13" s="7" t="s">
        <v>789</v>
      </c>
      <c r="C13" s="10">
        <v>178</v>
      </c>
      <c r="D13" s="10">
        <v>222.5</v>
      </c>
    </row>
    <row r="14" spans="1:4">
      <c r="A14" s="7">
        <v>20</v>
      </c>
      <c r="B14" s="7" t="s">
        <v>790</v>
      </c>
      <c r="C14" s="10">
        <v>225.2</v>
      </c>
      <c r="D14" s="10">
        <v>281.5</v>
      </c>
    </row>
    <row r="15" spans="1:4">
      <c r="A15" s="7">
        <v>30</v>
      </c>
      <c r="B15" s="7" t="s">
        <v>791</v>
      </c>
      <c r="C15" s="10">
        <v>279.2</v>
      </c>
      <c r="D15" s="10">
        <v>349</v>
      </c>
    </row>
    <row r="16" spans="1:4">
      <c r="A16" s="7">
        <v>40</v>
      </c>
      <c r="B16" s="7" t="s">
        <v>792</v>
      </c>
      <c r="C16" s="10">
        <v>361.2</v>
      </c>
      <c r="D16" s="10">
        <v>451.5</v>
      </c>
    </row>
    <row r="17" spans="1:4">
      <c r="A17" s="7">
        <v>50</v>
      </c>
      <c r="B17" s="7" t="s">
        <v>793</v>
      </c>
      <c r="C17" s="10">
        <v>405.6</v>
      </c>
      <c r="D17" s="10">
        <v>507</v>
      </c>
    </row>
    <row r="18" spans="1:4">
      <c r="A18" s="7">
        <v>60</v>
      </c>
      <c r="B18" s="7" t="s">
        <v>794</v>
      </c>
      <c r="C18" s="10">
        <v>416.4</v>
      </c>
      <c r="D18" s="10">
        <v>520.5</v>
      </c>
    </row>
    <row r="19" spans="1:4">
      <c r="A19" s="7">
        <v>70</v>
      </c>
      <c r="B19" s="7" t="s">
        <v>795</v>
      </c>
      <c r="C19" s="10">
        <v>433.6</v>
      </c>
      <c r="D19" s="10">
        <v>542</v>
      </c>
    </row>
    <row r="20" spans="1:4">
      <c r="A20" s="7">
        <v>80</v>
      </c>
      <c r="B20" s="7" t="s">
        <v>796</v>
      </c>
      <c r="C20" s="7">
        <v>487.6</v>
      </c>
      <c r="D20" s="7">
        <v>609.5</v>
      </c>
    </row>
    <row r="21" spans="1:4">
      <c r="A21" s="7">
        <v>90</v>
      </c>
      <c r="B21" s="7" t="s">
        <v>797</v>
      </c>
      <c r="C21" s="7">
        <v>562.4</v>
      </c>
      <c r="D21" s="7">
        <v>703</v>
      </c>
    </row>
    <row r="22" spans="1:4">
      <c r="A22" s="7">
        <v>100</v>
      </c>
      <c r="B22" s="7" t="s">
        <v>798</v>
      </c>
      <c r="C22" s="7">
        <v>637.2</v>
      </c>
      <c r="D22" s="7">
        <v>796.5</v>
      </c>
    </row>
    <row r="23" spans="1:4">
      <c r="A23" s="7">
        <v>125</v>
      </c>
      <c r="B23" s="7" t="s">
        <v>799</v>
      </c>
      <c r="C23" s="7">
        <v>846</v>
      </c>
      <c r="D23" s="11">
        <v>1057.5</v>
      </c>
    </row>
    <row r="24" spans="1:4">
      <c r="A24" s="7">
        <v>150</v>
      </c>
      <c r="B24" s="7" t="s">
        <v>800</v>
      </c>
      <c r="C24" s="11">
        <v>1054.8</v>
      </c>
      <c r="D24" s="11">
        <v>1318.5</v>
      </c>
    </row>
    <row r="25" spans="1:4">
      <c r="A25" s="7">
        <v>175</v>
      </c>
      <c r="B25" s="7" t="s">
        <v>801</v>
      </c>
      <c r="C25" s="11">
        <v>1263.6</v>
      </c>
      <c r="D25" s="11">
        <v>1579.5</v>
      </c>
    </row>
    <row r="26" spans="1:4">
      <c r="A26" s="7">
        <v>200</v>
      </c>
      <c r="B26" s="7" t="s">
        <v>802</v>
      </c>
      <c r="C26" s="11">
        <v>1472.4</v>
      </c>
      <c r="D26" s="11">
        <v>1840.5</v>
      </c>
    </row>
    <row r="27" spans="1:4">
      <c r="A27" s="7">
        <v>225</v>
      </c>
      <c r="B27" s="7" t="s">
        <v>803</v>
      </c>
      <c r="C27" s="11">
        <v>1681.2</v>
      </c>
      <c r="D27" s="11">
        <v>2101.5</v>
      </c>
    </row>
    <row r="28" spans="1:4">
      <c r="A28" s="7">
        <v>250</v>
      </c>
      <c r="B28" s="7" t="s">
        <v>804</v>
      </c>
      <c r="C28" s="11">
        <v>1890</v>
      </c>
      <c r="D28" s="11">
        <v>2362.5</v>
      </c>
    </row>
    <row r="29" spans="1:4">
      <c r="A29" s="7">
        <v>275</v>
      </c>
      <c r="B29" s="7" t="s">
        <v>805</v>
      </c>
      <c r="C29" s="11">
        <v>2098.4</v>
      </c>
      <c r="D29" s="11">
        <v>2623</v>
      </c>
    </row>
    <row r="30" spans="1:4">
      <c r="A30" s="7">
        <v>300</v>
      </c>
      <c r="B30" s="7" t="s">
        <v>806</v>
      </c>
      <c r="C30" s="11">
        <v>2308</v>
      </c>
      <c r="D30" s="11">
        <v>2885</v>
      </c>
    </row>
    <row r="31" spans="1:4">
      <c r="A31" s="7">
        <v>325</v>
      </c>
      <c r="B31" s="7" t="s">
        <v>807</v>
      </c>
      <c r="C31" s="11">
        <v>2516.8</v>
      </c>
      <c r="D31" s="11">
        <v>3146</v>
      </c>
    </row>
    <row r="32" spans="1:4">
      <c r="A32" s="7">
        <v>350</v>
      </c>
      <c r="B32" s="7" t="s">
        <v>808</v>
      </c>
      <c r="C32" s="11">
        <v>2516.8</v>
      </c>
      <c r="D32" s="11">
        <v>3146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1"/>
  <sheetViews>
    <sheetView workbookViewId="0">
      <selection activeCell="A1" sqref="A1"/>
    </sheetView>
  </sheetViews>
  <sheetFormatPr defaultColWidth="11.3333333333333" defaultRowHeight="19.5"/>
  <cols>
    <col min="1" max="16384" width="11.3333333333333" style="1"/>
  </cols>
  <sheetData>
    <row r="1" ht="27" spans="1:27">
      <c r="A1" s="2" t="s">
        <v>809</v>
      </c>
      <c r="B1" s="2" t="s">
        <v>810</v>
      </c>
      <c r="C1" s="2" t="s">
        <v>811</v>
      </c>
      <c r="D1" s="2" t="s">
        <v>812</v>
      </c>
      <c r="E1" s="2" t="s">
        <v>813</v>
      </c>
      <c r="F1" s="2" t="s">
        <v>21</v>
      </c>
      <c r="G1" s="2" t="s">
        <v>692</v>
      </c>
      <c r="H1" s="2" t="s">
        <v>53</v>
      </c>
      <c r="I1" s="2" t="s">
        <v>54</v>
      </c>
      <c r="J1" s="2" t="s">
        <v>699</v>
      </c>
      <c r="K1" s="2" t="s">
        <v>700</v>
      </c>
      <c r="L1" s="2" t="s">
        <v>814</v>
      </c>
      <c r="M1" s="2" t="s">
        <v>815</v>
      </c>
      <c r="N1" s="2" t="s">
        <v>49</v>
      </c>
      <c r="O1" s="2" t="s">
        <v>816</v>
      </c>
      <c r="P1" s="2" t="s">
        <v>701</v>
      </c>
      <c r="Q1" s="2" t="s">
        <v>702</v>
      </c>
      <c r="R1" s="2" t="s">
        <v>48</v>
      </c>
      <c r="S1" s="2" t="s">
        <v>817</v>
      </c>
      <c r="T1" s="2" t="s">
        <v>818</v>
      </c>
      <c r="U1" s="2" t="s">
        <v>819</v>
      </c>
      <c r="V1" s="2" t="s">
        <v>820</v>
      </c>
      <c r="W1" s="2" t="s">
        <v>821</v>
      </c>
      <c r="X1" s="2" t="s">
        <v>703</v>
      </c>
      <c r="Y1" s="2" t="s">
        <v>822</v>
      </c>
      <c r="Z1" s="2" t="s">
        <v>823</v>
      </c>
      <c r="AA1" s="2" t="s">
        <v>704</v>
      </c>
    </row>
    <row r="2" ht="27" spans="1:27">
      <c r="A2" s="3" t="s">
        <v>824</v>
      </c>
      <c r="B2" s="4" t="s">
        <v>825</v>
      </c>
      <c r="C2" s="4" t="s">
        <v>826</v>
      </c>
      <c r="D2" s="4" t="s">
        <v>127</v>
      </c>
      <c r="E2" s="4"/>
      <c r="F2" s="4" t="s">
        <v>128</v>
      </c>
      <c r="G2" s="4" t="s">
        <v>827</v>
      </c>
      <c r="H2" s="5">
        <v>69659</v>
      </c>
      <c r="I2" s="5">
        <v>151</v>
      </c>
      <c r="J2" s="5" t="s">
        <v>828</v>
      </c>
      <c r="K2" s="5">
        <v>813.44</v>
      </c>
      <c r="L2" s="5">
        <v>130.15</v>
      </c>
      <c r="M2" s="5">
        <v>5.39</v>
      </c>
      <c r="N2" s="5">
        <v>10</v>
      </c>
      <c r="O2" s="5">
        <v>5256.48</v>
      </c>
      <c r="P2" s="5">
        <v>10</v>
      </c>
      <c r="Q2" s="5">
        <v>0</v>
      </c>
      <c r="R2" s="5">
        <v>2</v>
      </c>
      <c r="S2" s="5" t="s">
        <v>829</v>
      </c>
      <c r="T2" s="5">
        <v>1043.84</v>
      </c>
      <c r="U2" s="5" t="s">
        <v>830</v>
      </c>
      <c r="V2" s="5" t="s">
        <v>831</v>
      </c>
      <c r="W2" s="5" t="s">
        <v>832</v>
      </c>
      <c r="X2" s="5" t="s">
        <v>833</v>
      </c>
      <c r="Y2" s="5">
        <v>1</v>
      </c>
      <c r="Z2" s="5">
        <v>0</v>
      </c>
      <c r="AA2" s="5">
        <v>6.46</v>
      </c>
    </row>
    <row r="3" ht="27" spans="1:27">
      <c r="A3" s="3" t="s">
        <v>824</v>
      </c>
      <c r="B3" s="4" t="s">
        <v>825</v>
      </c>
      <c r="C3" s="4" t="s">
        <v>826</v>
      </c>
      <c r="D3" s="4" t="s">
        <v>121</v>
      </c>
      <c r="E3" s="4"/>
      <c r="F3" s="4" t="s">
        <v>122</v>
      </c>
      <c r="G3" s="4" t="s">
        <v>834</v>
      </c>
      <c r="H3" s="5">
        <v>67090</v>
      </c>
      <c r="I3" s="5">
        <v>71</v>
      </c>
      <c r="J3" s="5" t="s">
        <v>835</v>
      </c>
      <c r="K3" s="5">
        <v>246.32</v>
      </c>
      <c r="L3" s="5">
        <v>39.41</v>
      </c>
      <c r="M3" s="5">
        <v>3.47</v>
      </c>
      <c r="N3" s="5">
        <v>5</v>
      </c>
      <c r="O3" s="5">
        <v>3207.6</v>
      </c>
      <c r="P3" s="5">
        <v>5</v>
      </c>
      <c r="Q3" s="5">
        <v>0</v>
      </c>
      <c r="R3" s="5">
        <v>5</v>
      </c>
      <c r="S3" s="5" t="s">
        <v>836</v>
      </c>
      <c r="T3" s="5">
        <v>3207.6</v>
      </c>
      <c r="U3" s="5" t="s">
        <v>836</v>
      </c>
      <c r="V3" s="5" t="s">
        <v>773</v>
      </c>
      <c r="W3" s="5" t="s">
        <v>837</v>
      </c>
      <c r="X3" s="5" t="s">
        <v>771</v>
      </c>
      <c r="Y3" s="5">
        <v>22</v>
      </c>
      <c r="Z3" s="5">
        <v>22</v>
      </c>
      <c r="AA3" s="5">
        <v>13.02</v>
      </c>
    </row>
    <row r="4" ht="27" spans="1:27">
      <c r="A4" s="3" t="s">
        <v>824</v>
      </c>
      <c r="B4" s="4" t="s">
        <v>825</v>
      </c>
      <c r="C4" s="4" t="s">
        <v>826</v>
      </c>
      <c r="D4" s="4" t="s">
        <v>140</v>
      </c>
      <c r="E4" s="4"/>
      <c r="F4" s="4" t="s">
        <v>141</v>
      </c>
      <c r="G4" s="4" t="s">
        <v>838</v>
      </c>
      <c r="H4" s="5">
        <v>6145</v>
      </c>
      <c r="I4" s="5">
        <v>19</v>
      </c>
      <c r="J4" s="5" t="s">
        <v>708</v>
      </c>
      <c r="K4" s="5">
        <v>27.72</v>
      </c>
      <c r="L4" s="5">
        <v>4.44</v>
      </c>
      <c r="M4" s="5">
        <v>1.46</v>
      </c>
      <c r="N4" s="5">
        <v>0</v>
      </c>
      <c r="O4" s="5">
        <v>0</v>
      </c>
      <c r="P4" s="5">
        <v>0</v>
      </c>
      <c r="Q4" s="5">
        <v>0</v>
      </c>
      <c r="R4" s="5">
        <v>3</v>
      </c>
      <c r="S4" s="5" t="s">
        <v>839</v>
      </c>
      <c r="T4" s="5">
        <v>1493.88</v>
      </c>
      <c r="U4" s="5" t="s">
        <v>839</v>
      </c>
      <c r="V4" s="5" t="s">
        <v>840</v>
      </c>
      <c r="W4" s="5" t="s">
        <v>708</v>
      </c>
      <c r="X4" s="5" t="s">
        <v>841</v>
      </c>
      <c r="Y4" s="5">
        <v>14</v>
      </c>
      <c r="Z4" s="5">
        <v>14</v>
      </c>
      <c r="AA4" s="5">
        <v>0</v>
      </c>
    </row>
    <row r="5" ht="27" spans="1:27">
      <c r="A5" s="3" t="s">
        <v>824</v>
      </c>
      <c r="B5" s="4" t="s">
        <v>825</v>
      </c>
      <c r="C5" s="4" t="s">
        <v>826</v>
      </c>
      <c r="D5" s="4" t="s">
        <v>842</v>
      </c>
      <c r="E5" s="4"/>
      <c r="F5" s="4" t="s">
        <v>226</v>
      </c>
      <c r="G5" s="4" t="s">
        <v>843</v>
      </c>
      <c r="H5" s="5">
        <v>2919</v>
      </c>
      <c r="I5" s="5">
        <v>19</v>
      </c>
      <c r="J5" s="5" t="s">
        <v>844</v>
      </c>
      <c r="K5" s="5">
        <v>136.07</v>
      </c>
      <c r="L5" s="5">
        <v>21.77</v>
      </c>
      <c r="M5" s="5">
        <v>7.16</v>
      </c>
      <c r="N5" s="5">
        <v>7</v>
      </c>
      <c r="O5" s="5">
        <v>1645.56</v>
      </c>
      <c r="P5" s="5">
        <v>7</v>
      </c>
      <c r="Q5" s="5">
        <v>0</v>
      </c>
      <c r="R5" s="5">
        <v>0</v>
      </c>
      <c r="S5" s="5" t="s">
        <v>708</v>
      </c>
      <c r="T5" s="5">
        <v>0</v>
      </c>
      <c r="U5" s="5" t="s">
        <v>708</v>
      </c>
      <c r="V5" s="5" t="s">
        <v>845</v>
      </c>
      <c r="W5" s="5" t="s">
        <v>846</v>
      </c>
      <c r="X5" s="5" t="s">
        <v>844</v>
      </c>
      <c r="Y5" s="5">
        <v>42</v>
      </c>
      <c r="Z5" s="5">
        <v>42</v>
      </c>
      <c r="AA5" s="5">
        <v>12.09</v>
      </c>
    </row>
    <row r="6" ht="27" spans="1:27">
      <c r="A6" s="3" t="s">
        <v>824</v>
      </c>
      <c r="B6" s="4" t="s">
        <v>825</v>
      </c>
      <c r="C6" s="4" t="s">
        <v>826</v>
      </c>
      <c r="D6" s="4" t="s">
        <v>847</v>
      </c>
      <c r="E6" s="4"/>
      <c r="F6" s="4" t="s">
        <v>214</v>
      </c>
      <c r="G6" s="4" t="s">
        <v>848</v>
      </c>
      <c r="H6" s="5">
        <v>2721</v>
      </c>
      <c r="I6" s="5">
        <v>15</v>
      </c>
      <c r="J6" s="5" t="s">
        <v>849</v>
      </c>
      <c r="K6" s="5">
        <v>215.25</v>
      </c>
      <c r="L6" s="5">
        <v>34.44</v>
      </c>
      <c r="M6" s="5">
        <v>14.35</v>
      </c>
      <c r="N6" s="5">
        <v>5</v>
      </c>
      <c r="O6" s="5">
        <v>5081.15</v>
      </c>
      <c r="P6" s="5">
        <v>5</v>
      </c>
      <c r="Q6" s="5">
        <v>0</v>
      </c>
      <c r="R6" s="5">
        <v>0</v>
      </c>
      <c r="S6" s="5" t="s">
        <v>708</v>
      </c>
      <c r="T6" s="5">
        <v>0</v>
      </c>
      <c r="U6" s="5" t="s">
        <v>708</v>
      </c>
      <c r="V6" s="5" t="s">
        <v>850</v>
      </c>
      <c r="W6" s="5" t="s">
        <v>851</v>
      </c>
      <c r="X6" s="5" t="s">
        <v>849</v>
      </c>
      <c r="Y6" s="5">
        <v>15</v>
      </c>
      <c r="Z6" s="5">
        <v>15</v>
      </c>
      <c r="AA6" s="5">
        <v>23.61</v>
      </c>
    </row>
    <row r="7" ht="27" spans="1:27">
      <c r="A7" s="3" t="s">
        <v>824</v>
      </c>
      <c r="B7" s="4" t="s">
        <v>825</v>
      </c>
      <c r="C7" s="4" t="s">
        <v>826</v>
      </c>
      <c r="D7" s="4" t="s">
        <v>852</v>
      </c>
      <c r="E7" s="4"/>
      <c r="F7" s="4" t="s">
        <v>232</v>
      </c>
      <c r="G7" s="4" t="s">
        <v>853</v>
      </c>
      <c r="H7" s="5">
        <v>1381</v>
      </c>
      <c r="I7" s="5">
        <v>1</v>
      </c>
      <c r="J7" s="5" t="s">
        <v>708</v>
      </c>
      <c r="K7" s="5">
        <v>0.25</v>
      </c>
      <c r="L7" s="5">
        <v>0.04</v>
      </c>
      <c r="M7" s="5">
        <v>0.25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 t="s">
        <v>708</v>
      </c>
      <c r="T7" s="5">
        <v>0</v>
      </c>
      <c r="U7" s="5" t="s">
        <v>708</v>
      </c>
      <c r="V7" s="5" t="s">
        <v>854</v>
      </c>
      <c r="W7" s="5" t="s">
        <v>708</v>
      </c>
      <c r="X7" s="5" t="s">
        <v>708</v>
      </c>
      <c r="Y7" s="5">
        <v>50</v>
      </c>
      <c r="Z7" s="5">
        <v>50</v>
      </c>
      <c r="AA7" s="5">
        <v>0</v>
      </c>
    </row>
    <row r="8" ht="27" spans="1:27">
      <c r="A8" s="3" t="s">
        <v>824</v>
      </c>
      <c r="B8" s="4" t="s">
        <v>825</v>
      </c>
      <c r="C8" s="4" t="s">
        <v>826</v>
      </c>
      <c r="D8" s="4" t="s">
        <v>855</v>
      </c>
      <c r="E8" s="4"/>
      <c r="F8" s="4" t="s">
        <v>220</v>
      </c>
      <c r="G8" s="4" t="s">
        <v>856</v>
      </c>
      <c r="H8" s="5">
        <v>866</v>
      </c>
      <c r="I8" s="5">
        <v>3</v>
      </c>
      <c r="J8" s="5" t="s">
        <v>708</v>
      </c>
      <c r="K8" s="5">
        <v>2.36</v>
      </c>
      <c r="L8" s="5">
        <v>0.38</v>
      </c>
      <c r="M8" s="5">
        <v>0.79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 t="s">
        <v>708</v>
      </c>
      <c r="T8" s="5">
        <v>0</v>
      </c>
      <c r="U8" s="5" t="s">
        <v>708</v>
      </c>
      <c r="V8" s="5" t="s">
        <v>857</v>
      </c>
      <c r="W8" s="5" t="s">
        <v>708</v>
      </c>
      <c r="X8" s="5" t="s">
        <v>708</v>
      </c>
      <c r="Y8" s="5">
        <v>50</v>
      </c>
      <c r="Z8" s="5">
        <v>50</v>
      </c>
      <c r="AA8" s="5">
        <v>0</v>
      </c>
    </row>
    <row r="9" ht="27" spans="1:27">
      <c r="A9" s="3" t="s">
        <v>824</v>
      </c>
      <c r="B9" s="4" t="s">
        <v>825</v>
      </c>
      <c r="C9" s="4" t="s">
        <v>826</v>
      </c>
      <c r="D9" s="4" t="s">
        <v>858</v>
      </c>
      <c r="E9" s="4"/>
      <c r="F9" s="4" t="s">
        <v>245</v>
      </c>
      <c r="G9" s="4" t="s">
        <v>859</v>
      </c>
      <c r="H9" s="5">
        <v>780</v>
      </c>
      <c r="I9" s="5">
        <v>3</v>
      </c>
      <c r="J9" s="5" t="s">
        <v>708</v>
      </c>
      <c r="K9" s="5">
        <v>2.88</v>
      </c>
      <c r="L9" s="5">
        <v>0.46</v>
      </c>
      <c r="M9" s="5">
        <v>0.96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 t="s">
        <v>708</v>
      </c>
      <c r="T9" s="5">
        <v>0</v>
      </c>
      <c r="U9" s="5" t="s">
        <v>708</v>
      </c>
      <c r="V9" s="5" t="s">
        <v>860</v>
      </c>
      <c r="W9" s="5" t="s">
        <v>708</v>
      </c>
      <c r="X9" s="5" t="s">
        <v>708</v>
      </c>
      <c r="Y9" s="5">
        <v>50</v>
      </c>
      <c r="Z9" s="5">
        <v>50</v>
      </c>
      <c r="AA9" s="5">
        <v>0</v>
      </c>
    </row>
    <row r="10" ht="27" spans="1:27">
      <c r="A10" s="3" t="s">
        <v>824</v>
      </c>
      <c r="B10" s="4" t="s">
        <v>825</v>
      </c>
      <c r="C10" s="4" t="s">
        <v>826</v>
      </c>
      <c r="D10" s="4" t="s">
        <v>861</v>
      </c>
      <c r="E10" s="4"/>
      <c r="F10" s="4" t="s">
        <v>239</v>
      </c>
      <c r="G10" s="4" t="s">
        <v>862</v>
      </c>
      <c r="H10" s="5">
        <v>738</v>
      </c>
      <c r="I10" s="5">
        <v>2</v>
      </c>
      <c r="J10" s="5" t="s">
        <v>708</v>
      </c>
      <c r="K10" s="5">
        <v>2.04</v>
      </c>
      <c r="L10" s="5">
        <v>0.33</v>
      </c>
      <c r="M10" s="5">
        <v>1.02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 t="s">
        <v>708</v>
      </c>
      <c r="T10" s="5">
        <v>0</v>
      </c>
      <c r="U10" s="5" t="s">
        <v>708</v>
      </c>
      <c r="V10" s="5" t="s">
        <v>863</v>
      </c>
      <c r="W10" s="5" t="s">
        <v>708</v>
      </c>
      <c r="X10" s="5" t="s">
        <v>708</v>
      </c>
      <c r="Y10" s="5">
        <v>50</v>
      </c>
      <c r="Z10" s="5">
        <v>50</v>
      </c>
      <c r="AA10" s="5">
        <v>0</v>
      </c>
    </row>
    <row r="11" ht="27" spans="1:27">
      <c r="A11" s="3" t="s">
        <v>824</v>
      </c>
      <c r="B11" s="4" t="s">
        <v>825</v>
      </c>
      <c r="C11" s="4" t="s">
        <v>826</v>
      </c>
      <c r="D11" s="4" t="s">
        <v>302</v>
      </c>
      <c r="E11" s="4"/>
      <c r="F11" s="4" t="s">
        <v>303</v>
      </c>
      <c r="G11" s="4" t="s">
        <v>864</v>
      </c>
      <c r="H11" s="5">
        <v>382</v>
      </c>
      <c r="I11" s="5">
        <v>0</v>
      </c>
      <c r="J11" s="5" t="s">
        <v>708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 t="s">
        <v>839</v>
      </c>
      <c r="T11" s="5">
        <v>700</v>
      </c>
      <c r="U11" s="5" t="s">
        <v>839</v>
      </c>
      <c r="V11" s="5" t="s">
        <v>708</v>
      </c>
      <c r="W11" s="5" t="s">
        <v>708</v>
      </c>
      <c r="X11" s="5" t="s">
        <v>708</v>
      </c>
      <c r="Y11" s="5">
        <v>22</v>
      </c>
      <c r="Z11" s="5">
        <v>22</v>
      </c>
      <c r="AA11" s="5">
        <v>0</v>
      </c>
    </row>
    <row r="12" ht="27" spans="1:27">
      <c r="A12" s="3" t="s">
        <v>824</v>
      </c>
      <c r="B12" s="4" t="s">
        <v>825</v>
      </c>
      <c r="C12" s="4" t="s">
        <v>826</v>
      </c>
      <c r="D12" s="4" t="s">
        <v>865</v>
      </c>
      <c r="E12" s="4"/>
      <c r="F12" s="4" t="s">
        <v>262</v>
      </c>
      <c r="G12" s="4" t="s">
        <v>866</v>
      </c>
      <c r="H12" s="5">
        <v>332</v>
      </c>
      <c r="I12" s="5">
        <v>9</v>
      </c>
      <c r="J12" s="5" t="s">
        <v>867</v>
      </c>
      <c r="K12" s="5">
        <v>15.68</v>
      </c>
      <c r="L12" s="5">
        <v>2.51</v>
      </c>
      <c r="M12" s="5">
        <v>1.74</v>
      </c>
      <c r="N12" s="5">
        <v>1</v>
      </c>
      <c r="O12" s="5">
        <v>380</v>
      </c>
      <c r="P12" s="5">
        <v>1</v>
      </c>
      <c r="Q12" s="5">
        <v>0</v>
      </c>
      <c r="R12" s="5">
        <v>9</v>
      </c>
      <c r="S12" s="5" t="s">
        <v>868</v>
      </c>
      <c r="T12" s="5">
        <v>4234.3</v>
      </c>
      <c r="U12" s="5" t="s">
        <v>869</v>
      </c>
      <c r="V12" s="5" t="s">
        <v>870</v>
      </c>
      <c r="W12" s="5" t="s">
        <v>871</v>
      </c>
      <c r="X12" s="5" t="s">
        <v>872</v>
      </c>
      <c r="Y12" s="5">
        <v>40</v>
      </c>
      <c r="Z12" s="5">
        <v>40</v>
      </c>
      <c r="AA12" s="5">
        <v>24.23</v>
      </c>
    </row>
    <row r="13" ht="27" spans="1:27">
      <c r="A13" s="3" t="s">
        <v>824</v>
      </c>
      <c r="B13" s="4" t="s">
        <v>825</v>
      </c>
      <c r="C13" s="4" t="s">
        <v>826</v>
      </c>
      <c r="D13" s="4" t="s">
        <v>314</v>
      </c>
      <c r="E13" s="4"/>
      <c r="F13" s="4" t="s">
        <v>315</v>
      </c>
      <c r="G13" s="4" t="s">
        <v>873</v>
      </c>
      <c r="H13" s="5">
        <v>282</v>
      </c>
      <c r="I13" s="5">
        <v>1</v>
      </c>
      <c r="J13" s="5" t="s">
        <v>708</v>
      </c>
      <c r="K13" s="5">
        <v>4.67</v>
      </c>
      <c r="L13" s="5">
        <v>0.75</v>
      </c>
      <c r="M13" s="5">
        <v>4.67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 t="s">
        <v>839</v>
      </c>
      <c r="T13" s="5">
        <v>2270</v>
      </c>
      <c r="U13" s="5" t="s">
        <v>839</v>
      </c>
      <c r="V13" s="5" t="s">
        <v>857</v>
      </c>
      <c r="W13" s="5" t="s">
        <v>708</v>
      </c>
      <c r="X13" s="5" t="s">
        <v>874</v>
      </c>
      <c r="Y13" s="5">
        <v>24</v>
      </c>
      <c r="Z13" s="5">
        <v>24</v>
      </c>
      <c r="AA13" s="5">
        <v>0</v>
      </c>
    </row>
    <row r="14" ht="27" spans="1:27">
      <c r="A14" s="3" t="s">
        <v>824</v>
      </c>
      <c r="B14" s="4" t="s">
        <v>825</v>
      </c>
      <c r="C14" s="4" t="s">
        <v>826</v>
      </c>
      <c r="D14" s="4" t="s">
        <v>207</v>
      </c>
      <c r="E14" s="4"/>
      <c r="F14" s="4" t="s">
        <v>208</v>
      </c>
      <c r="G14" s="4" t="s">
        <v>875</v>
      </c>
      <c r="H14" s="5">
        <v>172</v>
      </c>
      <c r="I14" s="5">
        <v>2</v>
      </c>
      <c r="J14" s="5" t="s">
        <v>708</v>
      </c>
      <c r="K14" s="5">
        <v>1.07</v>
      </c>
      <c r="L14" s="5">
        <v>0.17</v>
      </c>
      <c r="M14" s="5">
        <v>0.54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 t="s">
        <v>708</v>
      </c>
      <c r="T14" s="5">
        <v>0</v>
      </c>
      <c r="U14" s="5" t="s">
        <v>708</v>
      </c>
      <c r="V14" s="5" t="s">
        <v>876</v>
      </c>
      <c r="W14" s="5" t="s">
        <v>708</v>
      </c>
      <c r="X14" s="5" t="s">
        <v>708</v>
      </c>
      <c r="Y14" s="5">
        <v>50</v>
      </c>
      <c r="Z14" s="5">
        <v>50</v>
      </c>
      <c r="AA14" s="5">
        <v>0</v>
      </c>
    </row>
    <row r="15" ht="27" spans="1:27">
      <c r="A15" s="3" t="s">
        <v>824</v>
      </c>
      <c r="B15" s="4" t="s">
        <v>825</v>
      </c>
      <c r="C15" s="4" t="s">
        <v>826</v>
      </c>
      <c r="D15" s="4" t="s">
        <v>296</v>
      </c>
      <c r="E15" s="4"/>
      <c r="F15" s="4" t="s">
        <v>297</v>
      </c>
      <c r="G15" s="4" t="s">
        <v>877</v>
      </c>
      <c r="H15" s="5">
        <v>145</v>
      </c>
      <c r="I15" s="5">
        <v>2</v>
      </c>
      <c r="J15" s="5" t="s">
        <v>708</v>
      </c>
      <c r="K15" s="5">
        <v>2.45</v>
      </c>
      <c r="L15" s="5">
        <v>0.39</v>
      </c>
      <c r="M15" s="5">
        <v>1.23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 t="s">
        <v>708</v>
      </c>
      <c r="T15" s="5">
        <v>0</v>
      </c>
      <c r="U15" s="5" t="s">
        <v>708</v>
      </c>
      <c r="V15" s="5" t="s">
        <v>878</v>
      </c>
      <c r="W15" s="5" t="s">
        <v>708</v>
      </c>
      <c r="X15" s="5" t="s">
        <v>708</v>
      </c>
      <c r="Y15" s="5">
        <v>24</v>
      </c>
      <c r="Z15" s="5">
        <v>24</v>
      </c>
      <c r="AA15" s="5">
        <v>0</v>
      </c>
    </row>
    <row r="16" ht="27" spans="1:27">
      <c r="A16" s="3" t="s">
        <v>824</v>
      </c>
      <c r="B16" s="4" t="s">
        <v>825</v>
      </c>
      <c r="C16" s="4" t="s">
        <v>826</v>
      </c>
      <c r="D16" s="4" t="s">
        <v>351</v>
      </c>
      <c r="E16" s="4"/>
      <c r="F16" s="4" t="s">
        <v>352</v>
      </c>
      <c r="G16" s="4" t="s">
        <v>879</v>
      </c>
      <c r="H16" s="5">
        <v>88</v>
      </c>
      <c r="I16" s="5">
        <v>1</v>
      </c>
      <c r="J16" s="5" t="s">
        <v>773</v>
      </c>
      <c r="K16" s="5">
        <v>0.57</v>
      </c>
      <c r="L16" s="5">
        <v>0.09</v>
      </c>
      <c r="M16" s="5">
        <v>0.57</v>
      </c>
      <c r="N16" s="5">
        <v>1</v>
      </c>
      <c r="O16" s="5">
        <v>495.81</v>
      </c>
      <c r="P16" s="5">
        <v>1</v>
      </c>
      <c r="Q16" s="5">
        <v>0</v>
      </c>
      <c r="R16" s="5">
        <v>0</v>
      </c>
      <c r="S16" s="5" t="s">
        <v>708</v>
      </c>
      <c r="T16" s="5">
        <v>0</v>
      </c>
      <c r="U16" s="5" t="s">
        <v>708</v>
      </c>
      <c r="V16" s="5" t="s">
        <v>880</v>
      </c>
      <c r="W16" s="5" t="s">
        <v>839</v>
      </c>
      <c r="X16" s="5" t="s">
        <v>773</v>
      </c>
      <c r="Y16" s="5">
        <v>29</v>
      </c>
      <c r="Z16" s="5">
        <v>29</v>
      </c>
      <c r="AA16" s="5">
        <v>869.84</v>
      </c>
    </row>
    <row r="17" ht="27" spans="1:27">
      <c r="A17" s="3" t="s">
        <v>824</v>
      </c>
      <c r="B17" s="4" t="s">
        <v>825</v>
      </c>
      <c r="C17" s="4" t="s">
        <v>826</v>
      </c>
      <c r="D17" s="4" t="s">
        <v>881</v>
      </c>
      <c r="E17" s="4"/>
      <c r="F17" s="4" t="s">
        <v>251</v>
      </c>
      <c r="G17" s="4" t="s">
        <v>882</v>
      </c>
      <c r="H17" s="5">
        <v>67</v>
      </c>
      <c r="I17" s="5">
        <v>1</v>
      </c>
      <c r="J17" s="5" t="s">
        <v>708</v>
      </c>
      <c r="K17" s="5">
        <v>0.36</v>
      </c>
      <c r="L17" s="5">
        <v>0.06</v>
      </c>
      <c r="M17" s="5">
        <v>0.36</v>
      </c>
      <c r="N17" s="5">
        <v>0</v>
      </c>
      <c r="O17" s="5">
        <v>0</v>
      </c>
      <c r="P17" s="5">
        <v>0</v>
      </c>
      <c r="Q17" s="5">
        <v>0</v>
      </c>
      <c r="R17" s="5">
        <v>2</v>
      </c>
      <c r="S17" s="5" t="s">
        <v>839</v>
      </c>
      <c r="T17" s="5">
        <v>685.72</v>
      </c>
      <c r="U17" s="5" t="s">
        <v>839</v>
      </c>
      <c r="V17" s="5" t="s">
        <v>883</v>
      </c>
      <c r="W17" s="5" t="s">
        <v>708</v>
      </c>
      <c r="X17" s="5" t="s">
        <v>772</v>
      </c>
      <c r="Y17" s="5">
        <v>48</v>
      </c>
      <c r="Z17" s="5">
        <v>48</v>
      </c>
      <c r="AA17" s="5">
        <v>0</v>
      </c>
    </row>
    <row r="18" ht="27" spans="1:27">
      <c r="A18" s="3" t="s">
        <v>824</v>
      </c>
      <c r="B18" s="4" t="s">
        <v>825</v>
      </c>
      <c r="C18" s="4" t="s">
        <v>826</v>
      </c>
      <c r="D18" s="4" t="s">
        <v>884</v>
      </c>
      <c r="E18" s="4"/>
      <c r="F18" s="4" t="s">
        <v>157</v>
      </c>
      <c r="G18" s="4" t="s">
        <v>885</v>
      </c>
      <c r="H18" s="5">
        <v>55</v>
      </c>
      <c r="I18" s="5">
        <v>1</v>
      </c>
      <c r="J18" s="5" t="s">
        <v>708</v>
      </c>
      <c r="K18" s="5">
        <v>1.94</v>
      </c>
      <c r="L18" s="5">
        <v>0.31</v>
      </c>
      <c r="M18" s="5">
        <v>1.94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 t="s">
        <v>708</v>
      </c>
      <c r="T18" s="5">
        <v>0</v>
      </c>
      <c r="U18" s="5" t="s">
        <v>708</v>
      </c>
      <c r="V18" s="5" t="s">
        <v>886</v>
      </c>
      <c r="W18" s="5" t="s">
        <v>708</v>
      </c>
      <c r="X18" s="5" t="s">
        <v>708</v>
      </c>
      <c r="Y18" s="5">
        <v>30</v>
      </c>
      <c r="Z18" s="5">
        <v>30</v>
      </c>
      <c r="AA18" s="5">
        <v>0</v>
      </c>
    </row>
    <row r="19" ht="27" spans="1:27">
      <c r="A19" s="3" t="s">
        <v>824</v>
      </c>
      <c r="B19" s="4" t="s">
        <v>825</v>
      </c>
      <c r="C19" s="4" t="s">
        <v>826</v>
      </c>
      <c r="D19" s="4" t="s">
        <v>174</v>
      </c>
      <c r="E19" s="4"/>
      <c r="F19" s="4" t="s">
        <v>175</v>
      </c>
      <c r="G19" s="4" t="s">
        <v>887</v>
      </c>
      <c r="H19" s="5">
        <v>53</v>
      </c>
      <c r="I19" s="5">
        <v>1</v>
      </c>
      <c r="J19" s="5" t="s">
        <v>708</v>
      </c>
      <c r="K19" s="5">
        <v>0.34</v>
      </c>
      <c r="L19" s="5">
        <v>0.05</v>
      </c>
      <c r="M19" s="5">
        <v>0.34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 t="s">
        <v>708</v>
      </c>
      <c r="T19" s="5">
        <v>0</v>
      </c>
      <c r="U19" s="5" t="s">
        <v>708</v>
      </c>
      <c r="V19" s="5" t="s">
        <v>888</v>
      </c>
      <c r="W19" s="5" t="s">
        <v>708</v>
      </c>
      <c r="X19" s="5" t="s">
        <v>708</v>
      </c>
      <c r="Y19" s="5">
        <v>19</v>
      </c>
      <c r="Z19" s="5">
        <v>19</v>
      </c>
      <c r="AA19" s="5">
        <v>0</v>
      </c>
    </row>
    <row r="20" ht="27" spans="1:27">
      <c r="A20" s="3" t="s">
        <v>824</v>
      </c>
      <c r="B20" s="4" t="s">
        <v>825</v>
      </c>
      <c r="C20" s="4" t="s">
        <v>826</v>
      </c>
      <c r="D20" s="4" t="s">
        <v>889</v>
      </c>
      <c r="E20" s="4"/>
      <c r="F20" s="4" t="s">
        <v>162</v>
      </c>
      <c r="G20" s="4" t="s">
        <v>890</v>
      </c>
      <c r="H20" s="5">
        <v>33</v>
      </c>
      <c r="I20" s="5">
        <v>0</v>
      </c>
      <c r="J20" s="5" t="s">
        <v>708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 t="s">
        <v>708</v>
      </c>
      <c r="T20" s="5">
        <v>0</v>
      </c>
      <c r="U20" s="5" t="s">
        <v>708</v>
      </c>
      <c r="V20" s="5" t="s">
        <v>708</v>
      </c>
      <c r="W20" s="5" t="s">
        <v>708</v>
      </c>
      <c r="X20" s="5" t="s">
        <v>708</v>
      </c>
      <c r="Y20" s="5">
        <v>30</v>
      </c>
      <c r="Z20" s="5">
        <v>30</v>
      </c>
      <c r="AA20" s="5">
        <v>0</v>
      </c>
    </row>
    <row r="21" ht="27" spans="1:27">
      <c r="A21" s="3" t="s">
        <v>824</v>
      </c>
      <c r="B21" s="4" t="s">
        <v>825</v>
      </c>
      <c r="C21" s="4" t="s">
        <v>826</v>
      </c>
      <c r="D21" s="4" t="s">
        <v>891</v>
      </c>
      <c r="E21" s="4"/>
      <c r="F21" s="4" t="s">
        <v>203</v>
      </c>
      <c r="G21" s="4" t="s">
        <v>892</v>
      </c>
      <c r="H21" s="5">
        <v>32</v>
      </c>
      <c r="I21" s="5">
        <v>1</v>
      </c>
      <c r="J21" s="5" t="s">
        <v>708</v>
      </c>
      <c r="K21" s="5">
        <v>0.21</v>
      </c>
      <c r="L21" s="5">
        <v>0.03</v>
      </c>
      <c r="M21" s="5">
        <v>0.21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 t="s">
        <v>708</v>
      </c>
      <c r="T21" s="5">
        <v>0</v>
      </c>
      <c r="U21" s="5" t="s">
        <v>708</v>
      </c>
      <c r="V21" s="5" t="s">
        <v>893</v>
      </c>
      <c r="W21" s="5" t="s">
        <v>708</v>
      </c>
      <c r="X21" s="5" t="s">
        <v>708</v>
      </c>
      <c r="Y21" s="5">
        <v>50</v>
      </c>
      <c r="Z21" s="5">
        <v>50</v>
      </c>
      <c r="AA21" s="5">
        <v>0</v>
      </c>
    </row>
    <row r="22" ht="27" spans="1:27">
      <c r="A22" s="3" t="s">
        <v>824</v>
      </c>
      <c r="B22" s="4" t="s">
        <v>825</v>
      </c>
      <c r="C22" s="4" t="s">
        <v>826</v>
      </c>
      <c r="D22" s="4" t="s">
        <v>894</v>
      </c>
      <c r="E22" s="4"/>
      <c r="F22" s="4" t="s">
        <v>148</v>
      </c>
      <c r="G22" s="4" t="s">
        <v>895</v>
      </c>
      <c r="H22" s="5">
        <v>23</v>
      </c>
      <c r="I22" s="5">
        <v>0</v>
      </c>
      <c r="J22" s="5" t="s">
        <v>708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 t="s">
        <v>708</v>
      </c>
      <c r="T22" s="5">
        <v>0</v>
      </c>
      <c r="U22" s="5" t="s">
        <v>708</v>
      </c>
      <c r="V22" s="5" t="s">
        <v>708</v>
      </c>
      <c r="W22" s="5" t="s">
        <v>708</v>
      </c>
      <c r="X22" s="5" t="s">
        <v>708</v>
      </c>
      <c r="Y22" s="5">
        <v>30</v>
      </c>
      <c r="Z22" s="5">
        <v>30</v>
      </c>
      <c r="AA22" s="5">
        <v>0</v>
      </c>
    </row>
    <row r="23" ht="27" spans="1:27">
      <c r="A23" s="3" t="s">
        <v>824</v>
      </c>
      <c r="B23" s="4" t="s">
        <v>825</v>
      </c>
      <c r="C23" s="4" t="s">
        <v>826</v>
      </c>
      <c r="D23" s="4" t="s">
        <v>308</v>
      </c>
      <c r="E23" s="4"/>
      <c r="F23" s="4" t="s">
        <v>309</v>
      </c>
      <c r="G23" s="4" t="s">
        <v>896</v>
      </c>
      <c r="H23" s="5">
        <v>23</v>
      </c>
      <c r="I23" s="5">
        <v>1</v>
      </c>
      <c r="J23" s="5" t="s">
        <v>708</v>
      </c>
      <c r="K23" s="5">
        <v>1.57</v>
      </c>
      <c r="L23" s="5">
        <v>0.25</v>
      </c>
      <c r="M23" s="5">
        <v>1.57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 t="s">
        <v>708</v>
      </c>
      <c r="T23" s="5">
        <v>0</v>
      </c>
      <c r="U23" s="5" t="s">
        <v>708</v>
      </c>
      <c r="V23" s="5" t="s">
        <v>897</v>
      </c>
      <c r="W23" s="5" t="s">
        <v>708</v>
      </c>
      <c r="X23" s="5" t="s">
        <v>708</v>
      </c>
      <c r="Y23" s="5">
        <v>24</v>
      </c>
      <c r="Z23" s="5">
        <v>24</v>
      </c>
      <c r="AA23" s="5">
        <v>0</v>
      </c>
    </row>
    <row r="24" ht="27" spans="1:27">
      <c r="A24" s="3" t="s">
        <v>824</v>
      </c>
      <c r="B24" s="4" t="s">
        <v>825</v>
      </c>
      <c r="C24" s="4" t="s">
        <v>826</v>
      </c>
      <c r="D24" s="4" t="s">
        <v>338</v>
      </c>
      <c r="E24" s="4"/>
      <c r="F24" s="4" t="s">
        <v>339</v>
      </c>
      <c r="G24" s="4" t="s">
        <v>898</v>
      </c>
      <c r="H24" s="5">
        <v>17</v>
      </c>
      <c r="I24" s="5">
        <v>0</v>
      </c>
      <c r="J24" s="5" t="s">
        <v>708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 t="s">
        <v>708</v>
      </c>
      <c r="T24" s="5">
        <v>0</v>
      </c>
      <c r="U24" s="5" t="s">
        <v>708</v>
      </c>
      <c r="V24" s="5" t="s">
        <v>708</v>
      </c>
      <c r="W24" s="5" t="s">
        <v>708</v>
      </c>
      <c r="X24" s="5" t="s">
        <v>708</v>
      </c>
      <c r="Y24" s="5">
        <v>30</v>
      </c>
      <c r="Z24" s="5">
        <v>30</v>
      </c>
      <c r="AA24" s="5">
        <v>0</v>
      </c>
    </row>
    <row r="25" ht="27" spans="1:27">
      <c r="A25" s="3" t="s">
        <v>824</v>
      </c>
      <c r="B25" s="4" t="s">
        <v>825</v>
      </c>
      <c r="C25" s="4" t="s">
        <v>826</v>
      </c>
      <c r="D25" s="4" t="s">
        <v>327</v>
      </c>
      <c r="E25" s="4"/>
      <c r="F25" s="4" t="s">
        <v>328</v>
      </c>
      <c r="G25" s="4" t="s">
        <v>899</v>
      </c>
      <c r="H25" s="5">
        <v>14</v>
      </c>
      <c r="I25" s="5">
        <v>0</v>
      </c>
      <c r="J25" s="5" t="s">
        <v>708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 t="s">
        <v>708</v>
      </c>
      <c r="T25" s="5">
        <v>0</v>
      </c>
      <c r="U25" s="5" t="s">
        <v>708</v>
      </c>
      <c r="V25" s="5" t="s">
        <v>708</v>
      </c>
      <c r="W25" s="5" t="s">
        <v>708</v>
      </c>
      <c r="X25" s="5" t="s">
        <v>708</v>
      </c>
      <c r="Y25" s="5">
        <v>30</v>
      </c>
      <c r="Z25" s="5">
        <v>30</v>
      </c>
      <c r="AA25" s="5">
        <v>0</v>
      </c>
    </row>
    <row r="26" ht="27" spans="1:27">
      <c r="A26" s="3" t="s">
        <v>824</v>
      </c>
      <c r="B26" s="4" t="s">
        <v>825</v>
      </c>
      <c r="C26" s="4" t="s">
        <v>826</v>
      </c>
      <c r="D26" s="4" t="s">
        <v>320</v>
      </c>
      <c r="E26" s="4"/>
      <c r="F26" s="4" t="s">
        <v>321</v>
      </c>
      <c r="G26" s="4" t="s">
        <v>900</v>
      </c>
      <c r="H26" s="5">
        <v>13</v>
      </c>
      <c r="I26" s="5">
        <v>0</v>
      </c>
      <c r="J26" s="5" t="s">
        <v>708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 t="s">
        <v>708</v>
      </c>
      <c r="T26" s="5">
        <v>0</v>
      </c>
      <c r="U26" s="5" t="s">
        <v>708</v>
      </c>
      <c r="V26" s="5" t="s">
        <v>708</v>
      </c>
      <c r="W26" s="5" t="s">
        <v>708</v>
      </c>
      <c r="X26" s="5" t="s">
        <v>708</v>
      </c>
      <c r="Y26" s="5">
        <v>30</v>
      </c>
      <c r="Z26" s="5">
        <v>30</v>
      </c>
      <c r="AA26" s="5">
        <v>0</v>
      </c>
    </row>
    <row r="27" ht="27" spans="1:27">
      <c r="A27" s="3" t="s">
        <v>824</v>
      </c>
      <c r="B27" s="4" t="s">
        <v>825</v>
      </c>
      <c r="C27" s="4" t="s">
        <v>826</v>
      </c>
      <c r="D27" s="4" t="s">
        <v>901</v>
      </c>
      <c r="E27" s="4"/>
      <c r="F27" s="4" t="s">
        <v>170</v>
      </c>
      <c r="G27" s="4" t="s">
        <v>902</v>
      </c>
      <c r="H27" s="5">
        <v>11</v>
      </c>
      <c r="I27" s="5">
        <v>1</v>
      </c>
      <c r="J27" s="5" t="s">
        <v>708</v>
      </c>
      <c r="K27" s="5">
        <v>1.01</v>
      </c>
      <c r="L27" s="5">
        <v>0.16</v>
      </c>
      <c r="M27" s="5">
        <v>1.01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 t="s">
        <v>708</v>
      </c>
      <c r="T27" s="5">
        <v>0</v>
      </c>
      <c r="U27" s="5" t="s">
        <v>708</v>
      </c>
      <c r="V27" s="5" t="s">
        <v>903</v>
      </c>
      <c r="W27" s="5" t="s">
        <v>708</v>
      </c>
      <c r="X27" s="5" t="s">
        <v>708</v>
      </c>
      <c r="Y27" s="5">
        <v>30</v>
      </c>
      <c r="Z27" s="5">
        <v>30</v>
      </c>
      <c r="AA27" s="5">
        <v>0</v>
      </c>
    </row>
    <row r="28" ht="27" spans="1:27">
      <c r="A28" s="3" t="s">
        <v>824</v>
      </c>
      <c r="B28" s="4" t="s">
        <v>825</v>
      </c>
      <c r="C28" s="4" t="s">
        <v>826</v>
      </c>
      <c r="D28" s="4" t="s">
        <v>904</v>
      </c>
      <c r="E28" s="4"/>
      <c r="F28" s="4" t="s">
        <v>257</v>
      </c>
      <c r="G28" s="4" t="s">
        <v>905</v>
      </c>
      <c r="H28" s="5">
        <v>10</v>
      </c>
      <c r="I28" s="5">
        <v>0</v>
      </c>
      <c r="J28" s="5" t="s">
        <v>708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 t="s">
        <v>708</v>
      </c>
      <c r="T28" s="5">
        <v>0</v>
      </c>
      <c r="U28" s="5" t="s">
        <v>708</v>
      </c>
      <c r="V28" s="5" t="s">
        <v>708</v>
      </c>
      <c r="W28" s="5" t="s">
        <v>708</v>
      </c>
      <c r="X28" s="5" t="s">
        <v>708</v>
      </c>
      <c r="Y28" s="5">
        <v>50</v>
      </c>
      <c r="Z28" s="5">
        <v>50</v>
      </c>
      <c r="AA28" s="5">
        <v>0</v>
      </c>
    </row>
    <row r="29" ht="27" spans="1:27">
      <c r="A29" s="3" t="s">
        <v>824</v>
      </c>
      <c r="B29" s="4" t="s">
        <v>825</v>
      </c>
      <c r="C29" s="4" t="s">
        <v>826</v>
      </c>
      <c r="D29" s="4" t="s">
        <v>906</v>
      </c>
      <c r="E29" s="4"/>
      <c r="F29" s="4" t="s">
        <v>192</v>
      </c>
      <c r="G29" s="4" t="s">
        <v>907</v>
      </c>
      <c r="H29" s="5">
        <v>7</v>
      </c>
      <c r="I29" s="5">
        <v>0</v>
      </c>
      <c r="J29" s="5" t="s">
        <v>708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 t="s">
        <v>708</v>
      </c>
      <c r="T29" s="5">
        <v>0</v>
      </c>
      <c r="U29" s="5" t="s">
        <v>708</v>
      </c>
      <c r="V29" s="5" t="s">
        <v>708</v>
      </c>
      <c r="W29" s="5" t="s">
        <v>708</v>
      </c>
      <c r="X29" s="5" t="s">
        <v>708</v>
      </c>
      <c r="Y29" s="5">
        <v>50</v>
      </c>
      <c r="Z29" s="5">
        <v>50</v>
      </c>
      <c r="AA29" s="5">
        <v>0</v>
      </c>
    </row>
    <row r="30" ht="27" spans="1:27">
      <c r="A30" s="3" t="s">
        <v>824</v>
      </c>
      <c r="B30" s="4" t="s">
        <v>825</v>
      </c>
      <c r="C30" s="4" t="s">
        <v>826</v>
      </c>
      <c r="D30" s="4" t="s">
        <v>344</v>
      </c>
      <c r="E30" s="4"/>
      <c r="F30" s="4" t="s">
        <v>345</v>
      </c>
      <c r="G30" s="4" t="s">
        <v>908</v>
      </c>
      <c r="H30" s="5">
        <v>6</v>
      </c>
      <c r="I30" s="5">
        <v>0</v>
      </c>
      <c r="J30" s="5" t="s">
        <v>708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 t="s">
        <v>708</v>
      </c>
      <c r="T30" s="5">
        <v>0</v>
      </c>
      <c r="U30" s="5" t="s">
        <v>708</v>
      </c>
      <c r="V30" s="5" t="s">
        <v>708</v>
      </c>
      <c r="W30" s="5" t="s">
        <v>708</v>
      </c>
      <c r="X30" s="5" t="s">
        <v>708</v>
      </c>
      <c r="Y30" s="5">
        <v>30</v>
      </c>
      <c r="Z30" s="5">
        <v>30</v>
      </c>
      <c r="AA30" s="5">
        <v>0</v>
      </c>
    </row>
    <row r="31" ht="27" spans="1:27">
      <c r="A31" s="3" t="s">
        <v>824</v>
      </c>
      <c r="B31" s="4" t="s">
        <v>825</v>
      </c>
      <c r="C31" s="4" t="s">
        <v>826</v>
      </c>
      <c r="D31" s="4" t="s">
        <v>332</v>
      </c>
      <c r="E31" s="4"/>
      <c r="F31" s="4" t="s">
        <v>333</v>
      </c>
      <c r="G31" s="4" t="s">
        <v>909</v>
      </c>
      <c r="H31" s="5">
        <v>1</v>
      </c>
      <c r="I31" s="5">
        <v>0</v>
      </c>
      <c r="J31" s="5" t="s">
        <v>708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 t="s">
        <v>708</v>
      </c>
      <c r="T31" s="5">
        <v>0</v>
      </c>
      <c r="U31" s="5" t="s">
        <v>708</v>
      </c>
      <c r="V31" s="5" t="s">
        <v>708</v>
      </c>
      <c r="W31" s="5" t="s">
        <v>708</v>
      </c>
      <c r="X31" s="5" t="s">
        <v>708</v>
      </c>
      <c r="Y31" s="5">
        <v>30</v>
      </c>
      <c r="Z31" s="5">
        <v>30</v>
      </c>
      <c r="AA31" s="5">
        <v>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NetdiskSupbooks xmlns="http://www.wps.cn/et/2019/netdiskSupbooks">
  <NetdiskSupbook Target="/data/weboffice/tmp/webet_4235071550/库销表_XQ5.ksheet" FileId="444460811556" NetdiskName="yunwps"/>
  <NetdiskSupbook Target="/data/weboffice/tmp/webet_4235071550/目录数据库.ksheet" FileId="468798401019" NetdiskName="yunwps"/>
  <NetdiskSupbook Target="/data/weboffice/tmp/webet_4235071550/开发表3.xlsx" FileId="474210114816" NetdiskName="yunwps"/>
  <NetdiskSupbook Target="目录数据库2026.xlsx" FileId="493851446483" NetdiskName="yunwps"/>
</NetdiskSupbooks>
</file>

<file path=customXml/item2.xml><?xml version="1.0" encoding="utf-8"?>
<autofilters xmlns="https://web.wps.cn/et/2018/main">
  <sheetItem sheetStid="2">
    <filterData filterID="1793475432"/>
    <filterData filterID="1800008919"/>
  </sheetItem>
</autofilters>
</file>

<file path=customXml/item3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4" interlineOnOff="0" interlineColor="0" isDbSheet="0" isDashBoardSheet="0" isDbDashBoardSheet="0" isFlexPaperSheet="0" topPadding="30" bottomPadding="30" leftPadding="15" rightPadding="15">
      <hyperlinks>
        <hyperlink ref="S1">
          <hypersublink pos="0" length="31" display="Unidades que afectan la métrica" address="https://www.mercadolibre.com.mx/ayuda/30272" subaddress="" screenTip="" linkrunstype="LRTURL"/>
          <hypersublink pos="32" length="16" display="&quot;Con antigüedad&quot;" address="https://www.mercadolibre.com.mx/ayuda/30272" subaddress="" screenTip="" linkrunstype="LRTURL"/>
        </hyperlink>
      </hyperlinks>
      <cellprotection/>
      <appEtDbRelations/>
    </woSheetProps>
    <woSheetProps sheetStid="5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6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493367145038" isFilterShared="0" woEtMtcEnabled="0" coreConquerUserId="" isAutoUpdatePaused="0" filterType="user" isMergeTasksAutoUpdate="0" isInserPicAsAttachment="0" supportDbFmlaDisp="0"/>
  </woBookProps>
</woProps>
</file>

<file path=customXml/item4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  <pixelatorList sheetStid="6"/>
  <pixelatorList sheetStid="7"/>
</pixelators>
</file>

<file path=customXml/itemProps1.xml><?xml version="1.0" encoding="utf-8"?>
<ds:datastoreItem xmlns:ds="http://schemas.openxmlformats.org/officeDocument/2006/customXml" ds:itemID="{8CA11897-456E-43AF-AC28-93E1BBEC0A59}">
  <ds:schemaRefs>
    <ds:schemaRef ds:uri="http://www.wps.cn/et/2019/netdiskSupbooks"/>
  </ds:schemaRefs>
</ds:datastoreItem>
</file>

<file path=customXml/itemProps2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WWO_wpscloud_20260120180756-4af9624cc4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XQ5</vt:lpstr>
      <vt:lpstr>XQ5 (2)</vt:lpstr>
      <vt:lpstr>数据更新表</vt:lpstr>
      <vt:lpstr>运费表</vt:lpstr>
      <vt:lpstr>工作表4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曾中伟</cp:lastModifiedBy>
  <dcterms:created xsi:type="dcterms:W3CDTF">2026-02-16T09:25:00Z</dcterms:created>
  <dcterms:modified xsi:type="dcterms:W3CDTF">2026-02-16T01:27:00Z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A62585E5533AE2DC7C948669C4711375_41</vt:lpwstr>
  </property>
  <property fmtid="{D5CDD505-2E9C-101B-9397-08002B2CF9AE}" pid="3" name="KSOProductBuildVer">
    <vt:lpwstr>2052-12.9.0.25172</vt:lpwstr>
  </property>
  <property fmtid="{D5CDD505-2E9C-101B-9397-08002B2CF9AE}" pid="4" name="CalculationRule">
    <vt:i4>1</vt:i4>
  </property>
</Properties>
</file>